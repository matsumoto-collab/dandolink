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\\192.168.1.26\imai\出勤簿\"/>
    </mc:Choice>
  </mc:AlternateContent>
  <xr:revisionPtr revIDLastSave="0" documentId="13_ncr:1_{188CF11D-962D-4942-B4CB-A18A6C99784F}" xr6:coauthVersionLast="47" xr6:coauthVersionMax="47" xr10:uidLastSave="{00000000-0000-0000-0000-000000000000}"/>
  <bookViews>
    <workbookView xWindow="20370" yWindow="-120" windowWidth="29040" windowHeight="15720" tabRatio="794" xr2:uid="{00000000-000D-0000-FFFF-FFFF00000000}"/>
  </bookViews>
  <sheets>
    <sheet name="出勤簿" sheetId="1" r:id="rId1"/>
  </sheets>
  <definedNames>
    <definedName name="_xlnm.Print_Area" localSheetId="0">'出勤簿'!$A$1:$M$40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<sst xmlns="http://schemas.openxmlformats.org/spreadsheetml/2006/main" count="1549" uniqueCount="109">
  <si>
    <t>年</t>
    <rPh sb="0" eb="1">
      <t>ネン</t>
    </rPh>
    <phoneticPr fontId="1"/>
  </si>
  <si>
    <t>休憩時間</t>
    <rPh sb="0" eb="2">
      <t>キュウケイ</t>
    </rPh>
    <rPh sb="2" eb="4">
      <t>ジカン</t>
    </rPh>
    <phoneticPr fontId="1"/>
  </si>
  <si>
    <t>出勤時刻</t>
    <rPh sb="0" eb="2">
      <t>シュッキン</t>
    </rPh>
    <rPh sb="2" eb="4">
      <t>ジコク</t>
    </rPh>
    <phoneticPr fontId="1"/>
  </si>
  <si>
    <t>時間外</t>
    <rPh sb="0" eb="3">
      <t>ジカンガイ</t>
    </rPh>
    <phoneticPr fontId="1"/>
  </si>
  <si>
    <t>出勤</t>
  </si>
  <si>
    <t>有給</t>
  </si>
  <si>
    <t>休日</t>
  </si>
  <si>
    <t>日付</t>
    <rPh sb="0" eb="2">
      <t>ヒヅケ</t>
    </rPh>
    <phoneticPr fontId="1"/>
  </si>
  <si>
    <t>合計時間</t>
    <rPh sb="0" eb="2">
      <t>ゴウケイ</t>
    </rPh>
    <rPh sb="2" eb="4">
      <t>ジカン</t>
    </rPh>
    <phoneticPr fontId="1"/>
  </si>
  <si>
    <t>欠勤</t>
  </si>
  <si>
    <t>月　出勤簿</t>
    <rPh sb="0" eb="1">
      <t>ツキ</t>
    </rPh>
    <rPh sb="2" eb="4">
      <t>シュッキン</t>
    </rPh>
    <rPh sb="4" eb="5">
      <t>ボ</t>
    </rPh>
    <phoneticPr fontId="1"/>
  </si>
  <si>
    <t>退勤時刻</t>
    <rPh sb="0" eb="2">
      <t>タイキン</t>
    </rPh>
    <rPh sb="2" eb="4">
      <t>ジコク</t>
    </rPh>
    <phoneticPr fontId="1"/>
  </si>
  <si>
    <t>実働</t>
    <rPh sb="0" eb="2">
      <t>ジツドウ</t>
    </rPh>
    <phoneticPr fontId="1"/>
  </si>
  <si>
    <t>遅刻</t>
    <rPh sb="0" eb="2">
      <t>チコク</t>
    </rPh>
    <phoneticPr fontId="1"/>
  </si>
  <si>
    <t>早退</t>
    <rPh sb="0" eb="2">
      <t>ソウタイ</t>
    </rPh>
    <phoneticPr fontId="1"/>
  </si>
  <si>
    <t>区分</t>
    <rPh sb="0" eb="2">
      <t>クブン</t>
    </rPh>
    <phoneticPr fontId="1"/>
  </si>
  <si>
    <t>出勤日数</t>
    <rPh sb="0" eb="2">
      <t>シュッキン</t>
    </rPh>
    <rPh sb="2" eb="3">
      <t>ヒ</t>
    </rPh>
    <rPh sb="3" eb="4">
      <t>カズ</t>
    </rPh>
    <phoneticPr fontId="1"/>
  </si>
  <si>
    <t>欠勤日数</t>
    <rPh sb="0" eb="2">
      <t>ケッキン</t>
    </rPh>
    <rPh sb="2" eb="3">
      <t>ヒ</t>
    </rPh>
    <rPh sb="3" eb="4">
      <t>カズ</t>
    </rPh>
    <phoneticPr fontId="1"/>
  </si>
  <si>
    <t>有給日数</t>
    <rPh sb="0" eb="2">
      <t>ユウキュウ</t>
    </rPh>
    <rPh sb="2" eb="3">
      <t>ヒ</t>
    </rPh>
    <rPh sb="3" eb="4">
      <t>カズ</t>
    </rPh>
    <phoneticPr fontId="1"/>
  </si>
  <si>
    <t>残業時間</t>
    <rPh sb="0" eb="4">
      <t>ザンギョウジカン</t>
    </rPh>
    <phoneticPr fontId="1"/>
  </si>
  <si>
    <t>勤務開始</t>
    <rPh sb="0" eb="2">
      <t>キンム</t>
    </rPh>
    <rPh sb="2" eb="4">
      <t>カイシ</t>
    </rPh>
    <phoneticPr fontId="1"/>
  </si>
  <si>
    <t>勤務終了</t>
    <rPh sb="0" eb="2">
      <t>キンム</t>
    </rPh>
    <rPh sb="2" eb="4">
      <t>シュウリョウ</t>
    </rPh>
    <phoneticPr fontId="1"/>
  </si>
  <si>
    <t>所定時間</t>
    <rPh sb="0" eb="2">
      <t>ショテイ</t>
    </rPh>
    <rPh sb="2" eb="4">
      <t>ジカン</t>
    </rPh>
    <phoneticPr fontId="1"/>
  </si>
  <si>
    <t>遅刻日数</t>
    <rPh sb="0" eb="2">
      <t>チコク</t>
    </rPh>
    <rPh sb="2" eb="3">
      <t>ヒ</t>
    </rPh>
    <rPh sb="3" eb="4">
      <t>カズ</t>
    </rPh>
    <phoneticPr fontId="1"/>
  </si>
  <si>
    <t>早退日数</t>
    <rPh sb="0" eb="2">
      <t>ソウタイ</t>
    </rPh>
    <rPh sb="2" eb="4">
      <t>ニッスウ</t>
    </rPh>
    <phoneticPr fontId="1"/>
  </si>
  <si>
    <t>遅刻時間</t>
    <rPh sb="0" eb="2">
      <t>チコク</t>
    </rPh>
    <rPh sb="2" eb="4">
      <t>ジカン</t>
    </rPh>
    <phoneticPr fontId="1"/>
  </si>
  <si>
    <t>早退時間</t>
    <rPh sb="0" eb="2">
      <t>ソウタイ</t>
    </rPh>
    <rPh sb="2" eb="4">
      <t>ジカン</t>
    </rPh>
    <phoneticPr fontId="1"/>
  </si>
  <si>
    <t>氏名</t>
    <rPh sb="0" eb="2">
      <t>シメイ</t>
    </rPh>
    <phoneticPr fontId="1"/>
  </si>
  <si>
    <t>備考</t>
    <rPh sb="0" eb="2">
      <t>ビコウ</t>
    </rPh>
    <phoneticPr fontId="1"/>
  </si>
  <si>
    <t>田畑　真大</t>
    <rPh sb="0" eb="2">
      <t>タバタ</t>
    </rPh>
    <rPh sb="3" eb="5">
      <t>マヒロ</t>
    </rPh>
    <phoneticPr fontId="1"/>
  </si>
  <si>
    <t>ムー　フィクリ</t>
    <phoneticPr fontId="1"/>
  </si>
  <si>
    <t>イワン　サリ</t>
    <phoneticPr fontId="1"/>
  </si>
  <si>
    <t>アフリザル</t>
    <phoneticPr fontId="1"/>
  </si>
  <si>
    <t>積込</t>
    <rPh sb="0" eb="2">
      <t>ツミコミ</t>
    </rPh>
    <phoneticPr fontId="1"/>
  </si>
  <si>
    <t>早出/残業</t>
    <rPh sb="0" eb="2">
      <t>ハヤデ</t>
    </rPh>
    <rPh sb="3" eb="5">
      <t>ザンギョウ</t>
    </rPh>
    <phoneticPr fontId="1"/>
  </si>
  <si>
    <t>バユ　アンガラ</t>
    <phoneticPr fontId="1"/>
  </si>
  <si>
    <t>所定労働時間</t>
    <rPh sb="0" eb="2">
      <t>ショテイ</t>
    </rPh>
    <rPh sb="2" eb="6">
      <t>ロウドウジカン</t>
    </rPh>
    <phoneticPr fontId="1"/>
  </si>
  <si>
    <t>ｈ</t>
    <phoneticPr fontId="1"/>
  </si>
  <si>
    <t>早出/残業/積込</t>
    <rPh sb="0" eb="2">
      <t>ハヤデ</t>
    </rPh>
    <rPh sb="3" eb="5">
      <t>ザンギョウ</t>
    </rPh>
    <rPh sb="6" eb="8">
      <t>ツミコミ</t>
    </rPh>
    <phoneticPr fontId="1"/>
  </si>
  <si>
    <t>労働時間</t>
    <rPh sb="0" eb="2">
      <t>ロウドウ</t>
    </rPh>
    <rPh sb="2" eb="4">
      <t>ジカン</t>
    </rPh>
    <phoneticPr fontId="1"/>
  </si>
  <si>
    <t>合計労働時間</t>
    <rPh sb="0" eb="2">
      <t>ゴウケイ</t>
    </rPh>
    <rPh sb="2" eb="6">
      <t>ロウドウジカン</t>
    </rPh>
    <phoneticPr fontId="1"/>
  </si>
  <si>
    <t>東本　夕貴</t>
    <rPh sb="0" eb="2">
      <t>ヒガシモト</t>
    </rPh>
    <rPh sb="3" eb="5">
      <t>ユウキ</t>
    </rPh>
    <phoneticPr fontId="1"/>
  </si>
  <si>
    <t>遅出</t>
    <rPh sb="0" eb="2">
      <t>オソデ</t>
    </rPh>
    <phoneticPr fontId="1"/>
  </si>
  <si>
    <t>遅出/早退</t>
    <rPh sb="0" eb="2">
      <t>オソデ</t>
    </rPh>
    <rPh sb="3" eb="5">
      <t>ソウタイ</t>
    </rPh>
    <phoneticPr fontId="1"/>
  </si>
  <si>
    <t>平野　和馬</t>
    <rPh sb="0" eb="2">
      <t>ヒラノ</t>
    </rPh>
    <rPh sb="3" eb="5">
      <t>カズマ</t>
    </rPh>
    <phoneticPr fontId="1"/>
  </si>
  <si>
    <t>所定</t>
    <rPh sb="0" eb="2">
      <t>ショテイ</t>
    </rPh>
    <phoneticPr fontId="1"/>
  </si>
  <si>
    <t>ケキ　F　サプトラ</t>
    <phoneticPr fontId="1"/>
  </si>
  <si>
    <t>三生　漣斗</t>
    <rPh sb="0" eb="2">
      <t>サンナマ</t>
    </rPh>
    <rPh sb="3" eb="5">
      <t>レント</t>
    </rPh>
    <phoneticPr fontId="1"/>
  </si>
  <si>
    <t>八田　大志</t>
    <rPh sb="0" eb="2">
      <t>ハッタ</t>
    </rPh>
    <rPh sb="3" eb="5">
      <t>タイシ</t>
    </rPh>
    <phoneticPr fontId="1"/>
  </si>
  <si>
    <t>吉中　琉斗</t>
    <rPh sb="0" eb="2">
      <t>ヨシナカ</t>
    </rPh>
    <rPh sb="3" eb="5">
      <t>リュウト</t>
    </rPh>
    <phoneticPr fontId="1"/>
  </si>
  <si>
    <t>出勤</t>
    <rPh sb="0" eb="2">
      <t>シュッキン</t>
    </rPh>
    <phoneticPr fontId="1"/>
  </si>
  <si>
    <t>欠勤</t>
    <rPh sb="0" eb="2">
      <t>ケッキン</t>
    </rPh>
    <phoneticPr fontId="1"/>
  </si>
  <si>
    <t>有給</t>
    <rPh sb="0" eb="2">
      <t>ユウキュウ</t>
    </rPh>
    <phoneticPr fontId="1"/>
  </si>
  <si>
    <t>小笠原　涼二</t>
    <rPh sb="0" eb="3">
      <t>オガサワラ</t>
    </rPh>
    <rPh sb="4" eb="6">
      <t>リョウジ</t>
    </rPh>
    <phoneticPr fontId="1"/>
  </si>
  <si>
    <t>早出</t>
    <rPh sb="0" eb="2">
      <t>ハヤデ</t>
    </rPh>
    <phoneticPr fontId="1"/>
  </si>
  <si>
    <t>残業</t>
    <rPh sb="0" eb="2">
      <t>ザンギョウ</t>
    </rPh>
    <phoneticPr fontId="1"/>
  </si>
  <si>
    <t>新宅　忠真</t>
    <rPh sb="0" eb="2">
      <t>シンタク</t>
    </rPh>
    <rPh sb="3" eb="5">
      <t>タダマサ</t>
    </rPh>
    <phoneticPr fontId="1"/>
  </si>
  <si>
    <t>楠岡　裕登</t>
    <rPh sb="0" eb="2">
      <t>クスオカ</t>
    </rPh>
    <rPh sb="3" eb="5">
      <t>ユウト</t>
    </rPh>
    <phoneticPr fontId="1"/>
  </si>
  <si>
    <t>北野　悠人</t>
    <rPh sb="0" eb="2">
      <t>キタノ</t>
    </rPh>
    <rPh sb="3" eb="5">
      <t>ハルト</t>
    </rPh>
    <phoneticPr fontId="1"/>
  </si>
  <si>
    <t>朝積</t>
    <phoneticPr fontId="1"/>
  </si>
  <si>
    <t>早終</t>
    <rPh sb="0" eb="2">
      <t>ハヤオ</t>
    </rPh>
    <phoneticPr fontId="1"/>
  </si>
  <si>
    <t>夕積</t>
    <rPh sb="0" eb="2">
      <t>ユウツミ</t>
    </rPh>
    <phoneticPr fontId="1"/>
  </si>
  <si>
    <t>合計</t>
    <rPh sb="0" eb="2">
      <t>ゴウケイ</t>
    </rPh>
    <phoneticPr fontId="1"/>
  </si>
  <si>
    <t>早残合計</t>
    <rPh sb="0" eb="1">
      <t>ハヤ</t>
    </rPh>
    <rPh sb="1" eb="2">
      <t>ザン</t>
    </rPh>
    <phoneticPr fontId="1"/>
  </si>
  <si>
    <t>浮穴　優生</t>
    <rPh sb="0" eb="2">
      <t>ウケナ</t>
    </rPh>
    <rPh sb="3" eb="5">
      <t>ユウセイ</t>
    </rPh>
    <phoneticPr fontId="1"/>
  </si>
  <si>
    <t>山本</t>
    <rPh sb="0" eb="2">
      <t>ヤマモト</t>
    </rPh>
    <phoneticPr fontId="1"/>
  </si>
  <si>
    <t>休憩</t>
    <rPh sb="0" eb="2">
      <t>キュウケイ</t>
    </rPh>
    <phoneticPr fontId="1"/>
  </si>
  <si>
    <t>朝積</t>
    <rPh sb="0" eb="2">
      <t>アサツミ</t>
    </rPh>
    <phoneticPr fontId="1"/>
  </si>
  <si>
    <t>現場開始</t>
    <rPh sb="0" eb="2">
      <t>ゲンバ</t>
    </rPh>
    <rPh sb="2" eb="4">
      <t>カイシ</t>
    </rPh>
    <phoneticPr fontId="1"/>
  </si>
  <si>
    <t>現場終了</t>
    <rPh sb="0" eb="2">
      <t>ゲンバ</t>
    </rPh>
    <rPh sb="2" eb="4">
      <t>シュウリョウ</t>
    </rPh>
    <phoneticPr fontId="1"/>
  </si>
  <si>
    <t>実働</t>
    <rPh sb="0" eb="2">
      <t>ジツドウ</t>
    </rPh>
    <phoneticPr fontId="1"/>
  </si>
  <si>
    <t>所定労働時間1日7ｈ</t>
    <rPh sb="0" eb="2">
      <t>ショテイ</t>
    </rPh>
    <rPh sb="2" eb="4">
      <t>ロウドウ</t>
    </rPh>
    <rPh sb="4" eb="6">
      <t>ジカン</t>
    </rPh>
    <rPh sb="6" eb="8">
      <t>ツイタチ</t>
    </rPh>
    <rPh sb="7" eb="8">
      <t>ニチ</t>
    </rPh>
    <phoneticPr fontId="1"/>
  </si>
  <si>
    <t>所定労働時間1日7ｈ</t>
    <rPh sb="0" eb="2">
      <t>ショテイ</t>
    </rPh>
    <rPh sb="2" eb="4">
      <t>ロウドウ</t>
    </rPh>
    <rPh sb="4" eb="6">
      <t>ジカン</t>
    </rPh>
    <rPh sb="7" eb="8">
      <t>ニチ</t>
    </rPh>
    <phoneticPr fontId="1"/>
  </si>
  <si>
    <t>藤岡</t>
    <rPh sb="0" eb="2">
      <t>フジオカ</t>
    </rPh>
    <phoneticPr fontId="1"/>
  </si>
  <si>
    <t>差時間</t>
    <rPh sb="0" eb="3">
      <t>サジカン</t>
    </rPh>
    <phoneticPr fontId="1"/>
  </si>
  <si>
    <t>所定労働1日7ｈ</t>
    <rPh sb="0" eb="2">
      <t>ショテイ</t>
    </rPh>
    <rPh sb="2" eb="4">
      <t>ロウドウ</t>
    </rPh>
    <rPh sb="5" eb="6">
      <t>ニチ</t>
    </rPh>
    <phoneticPr fontId="1"/>
  </si>
  <si>
    <t>森田　雄斗</t>
    <rPh sb="0" eb="2">
      <t>モリタ</t>
    </rPh>
    <rPh sb="3" eb="5">
      <t>ユウト</t>
    </rPh>
    <phoneticPr fontId="1"/>
  </si>
  <si>
    <t>小村　龍太郎</t>
    <rPh sb="0" eb="2">
      <t>コムラ</t>
    </rPh>
    <rPh sb="3" eb="6">
      <t>リュウタロウ</t>
    </rPh>
    <phoneticPr fontId="1"/>
  </si>
  <si>
    <t>松本　慶</t>
    <rPh sb="0" eb="2">
      <t>マツモト</t>
    </rPh>
    <rPh sb="3" eb="4">
      <t>ケイ</t>
    </rPh>
    <phoneticPr fontId="1"/>
  </si>
  <si>
    <t>差時間</t>
    <phoneticPr fontId="1"/>
  </si>
  <si>
    <t>夕積　1ｈ＝1,000</t>
    <rPh sb="0" eb="2">
      <t>ユウツミ</t>
    </rPh>
    <phoneticPr fontId="1"/>
  </si>
  <si>
    <t>早終　1ｈ＝2,600</t>
    <rPh sb="0" eb="2">
      <t>ハヤオ</t>
    </rPh>
    <phoneticPr fontId="1"/>
  </si>
  <si>
    <t>早出　1ｈ＝2,600</t>
    <rPh sb="0" eb="2">
      <t>ハヤデ</t>
    </rPh>
    <phoneticPr fontId="1"/>
  </si>
  <si>
    <t>残業　1ｈ＝2,600</t>
    <rPh sb="0" eb="2">
      <t>ザンギョウ</t>
    </rPh>
    <phoneticPr fontId="1"/>
  </si>
  <si>
    <t>朝積　1ｈ＝1,000</t>
    <rPh sb="0" eb="2">
      <t>アサツミ</t>
    </rPh>
    <phoneticPr fontId="1"/>
  </si>
  <si>
    <t>全日出勤　1日＝17,000</t>
    <rPh sb="0" eb="2">
      <t>ゼンニチ</t>
    </rPh>
    <rPh sb="2" eb="4">
      <t>シュッキン</t>
    </rPh>
    <rPh sb="6" eb="7">
      <t>ニチ</t>
    </rPh>
    <phoneticPr fontId="1"/>
  </si>
  <si>
    <t>半日出勤　1日＝8,500</t>
    <rPh sb="0" eb="2">
      <t>ハンニチ</t>
    </rPh>
    <rPh sb="2" eb="4">
      <t>シュッキン</t>
    </rPh>
    <rPh sb="6" eb="7">
      <t>ニチ</t>
    </rPh>
    <phoneticPr fontId="1"/>
  </si>
  <si>
    <t>早終</t>
    <rPh sb="0" eb="1">
      <t>ハヤ</t>
    </rPh>
    <rPh sb="1" eb="2">
      <t>オ</t>
    </rPh>
    <phoneticPr fontId="1"/>
  </si>
  <si>
    <t>全日出勤　1日＝15,000</t>
    <rPh sb="0" eb="2">
      <t>ゼンニチ</t>
    </rPh>
    <rPh sb="2" eb="4">
      <t>シュッキン</t>
    </rPh>
    <rPh sb="6" eb="7">
      <t>ニチ</t>
    </rPh>
    <phoneticPr fontId="1"/>
  </si>
  <si>
    <t>半日出勤　1日＝7,500</t>
    <rPh sb="0" eb="2">
      <t>ハンニチ</t>
    </rPh>
    <rPh sb="2" eb="4">
      <t>シュッキン</t>
    </rPh>
    <rPh sb="6" eb="7">
      <t>ニチ</t>
    </rPh>
    <phoneticPr fontId="1"/>
  </si>
  <si>
    <t>早出　1ｈ＝2,300</t>
    <rPh sb="0" eb="2">
      <t>ハヤデ</t>
    </rPh>
    <phoneticPr fontId="1"/>
  </si>
  <si>
    <t>残業　1ｈ＝2,300</t>
    <rPh sb="0" eb="2">
      <t>ザンギョウ</t>
    </rPh>
    <phoneticPr fontId="1"/>
  </si>
  <si>
    <t>早終　1ｈ＝2,300</t>
    <rPh sb="0" eb="2">
      <t>ハヤオ</t>
    </rPh>
    <phoneticPr fontId="1"/>
  </si>
  <si>
    <t>浅野祐太</t>
    <rPh sb="0" eb="2">
      <t>アサノ</t>
    </rPh>
    <rPh sb="2" eb="4">
      <t>ユウタ</t>
    </rPh>
    <phoneticPr fontId="1"/>
  </si>
  <si>
    <t>修栄工業</t>
    <rPh sb="0" eb="2">
      <t>シュウエイ</t>
    </rPh>
    <rPh sb="2" eb="4">
      <t>コウギョウ</t>
    </rPh>
    <phoneticPr fontId="1"/>
  </si>
  <si>
    <t>西﨑　晃汰</t>
    <rPh sb="0" eb="2">
      <t>ニシザキ</t>
    </rPh>
    <rPh sb="3" eb="5">
      <t>コウタ</t>
    </rPh>
    <phoneticPr fontId="1"/>
  </si>
  <si>
    <t>全日</t>
    <rPh sb="0" eb="2">
      <t>ゼンニチ</t>
    </rPh>
    <phoneticPr fontId="1"/>
  </si>
  <si>
    <t>全日出勤　1日＝16,000</t>
    <rPh sb="0" eb="2">
      <t>ゼンニチ</t>
    </rPh>
    <rPh sb="2" eb="4">
      <t>シュッキン</t>
    </rPh>
    <rPh sb="6" eb="7">
      <t>ニチ</t>
    </rPh>
    <phoneticPr fontId="1"/>
  </si>
  <si>
    <t>早出　1ｈ＝2,500</t>
    <rPh sb="0" eb="2">
      <t>ハヤデ</t>
    </rPh>
    <phoneticPr fontId="1"/>
  </si>
  <si>
    <t>半日出勤　1日＝8,000</t>
    <rPh sb="0" eb="2">
      <t>ハンニチ</t>
    </rPh>
    <rPh sb="2" eb="4">
      <t>シュッキン</t>
    </rPh>
    <rPh sb="6" eb="7">
      <t>ニチ</t>
    </rPh>
    <phoneticPr fontId="1"/>
  </si>
  <si>
    <t>残業　1ｈ＝2,500</t>
    <rPh sb="0" eb="2">
      <t>ザンギョウ</t>
    </rPh>
    <phoneticPr fontId="1"/>
  </si>
  <si>
    <t>早終　1ｈ＝2,500</t>
    <rPh sb="0" eb="2">
      <t>ハヤオ</t>
    </rPh>
    <phoneticPr fontId="1"/>
  </si>
  <si>
    <t>一人親方労災保険料　　　　　　　　　　　　4月￥11,894                    8月￥10,341                                      11月￥10,341</t>
    <rPh sb="0" eb="6">
      <t>ヒトリオヤカタロウサイ</t>
    </rPh>
    <rPh sb="6" eb="9">
      <t>ホケンリョウ</t>
    </rPh>
    <rPh sb="22" eb="23">
      <t>ガツ</t>
    </rPh>
    <phoneticPr fontId="1"/>
  </si>
  <si>
    <t>半日</t>
    <rPh sb="0" eb="2">
      <t>ハンニチ</t>
    </rPh>
    <phoneticPr fontId="1"/>
  </si>
  <si>
    <t>山之内</t>
    <rPh sb="0" eb="3">
      <t>ヤマノウチ</t>
    </rPh>
    <phoneticPr fontId="1"/>
  </si>
  <si>
    <t>ハイファル　ラマダン</t>
    <phoneticPr fontId="1"/>
  </si>
  <si>
    <t>アリ　プトラ</t>
    <phoneticPr fontId="1"/>
  </si>
  <si>
    <t>辰巳　康之</t>
    <rPh sb="0" eb="2">
      <t>タツミ</t>
    </rPh>
    <rPh sb="3" eb="5">
      <t>ヤスユキ</t>
    </rPh>
    <phoneticPr fontId="1"/>
  </si>
  <si>
    <t>全日</t>
    <rPh sb="0" eb="2">
      <t>ゼンニチ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</si>
</sst>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d"/>
    <numFmt numFmtId="177" formatCode="aaa"/>
    <numFmt numFmtId="178" formatCode="[h]:mm"/>
    <numFmt numFmtId="179" formatCode="[h]:mm;#;#"/>
    <numFmt numFmtId="180" formatCode="h:mm;;"/>
    <numFmt numFmtId="181" formatCode="0_);[Red]\(0\)"/>
    <numFmt numFmtId="182" formatCode="#,##0_);[Red]\(#,##0\)"/>
  </numFmts>
  <fonts count="2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6"/>
      <color theme="1"/>
      <name val="ＭＳ Ｐゴシック"/>
      <family val="2"/>
      <charset val="128"/>
      <scheme val="minor"/>
    </font>
    <font>
      <sz val="16"/>
      <color theme="1"/>
      <name val="ＭＳ ゴシック"/>
      <family val="3"/>
      <charset val="128"/>
    </font>
    <font>
      <sz val="11"/>
      <color theme="1"/>
      <name val="ＭＳ ゴシック"/>
      <family val="3"/>
      <charset val="128"/>
    </font>
    <font>
      <b/>
      <sz val="16"/>
      <color theme="1"/>
      <name val="ＭＳ 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b/>
      <sz val="12"/>
      <color theme="1"/>
      <name val="ＭＳ ゴシック"/>
      <family val="3"/>
      <charset val="128"/>
    </font>
    <font>
      <sz val="10"/>
      <color theme="1"/>
      <name val="BIZ UDゴシック"/>
      <family val="3"/>
      <charset val="128"/>
    </font>
    <font>
      <sz val="11"/>
      <color theme="1"/>
      <name val="BIZ UDゴシック"/>
      <family val="3"/>
      <charset val="128"/>
    </font>
    <font>
      <sz val="9"/>
      <color theme="1"/>
      <name val="BIZ UDゴシック"/>
      <family val="3"/>
      <charset val="128"/>
    </font>
    <font>
      <sz val="10"/>
      <color theme="1"/>
      <name val="BIZ UDPゴシック"/>
      <family val="3"/>
      <charset val="128"/>
    </font>
    <font>
      <sz val="18"/>
      <color theme="1"/>
      <name val="BIZ UDPゴシック"/>
      <family val="3"/>
      <charset val="128"/>
    </font>
    <font>
      <b/>
      <sz val="18"/>
      <color theme="1"/>
      <name val="BIZ UDPゴシック"/>
      <family val="3"/>
      <charset val="128"/>
    </font>
    <font>
      <sz val="18"/>
      <color theme="0"/>
      <name val="BIZ UDPゴシック"/>
      <family val="3"/>
      <charset val="128"/>
    </font>
    <font>
      <sz val="14"/>
      <color theme="1"/>
      <name val="BIZ UDPゴシック"/>
      <family val="3"/>
      <charset val="128"/>
    </font>
    <font>
      <sz val="9"/>
      <color indexed="81"/>
      <name val="MS P ゴシック"/>
      <family val="3"/>
      <charset val="128"/>
    </font>
    <font>
      <sz val="11"/>
      <color theme="1"/>
      <name val="BIZ UDPゴシック"/>
      <family val="3"/>
      <charset val="128"/>
    </font>
    <font>
      <sz val="11"/>
      <color rgb="FFFF0000"/>
      <name val="BIZ UDPゴシック"/>
      <family val="3"/>
      <charset val="128"/>
    </font>
    <font>
      <b/>
      <sz val="11"/>
      <color theme="1"/>
      <name val="BIZ UDPゴシック"/>
      <family val="3"/>
      <charset val="128"/>
    </font>
    <font>
      <sz val="11"/>
      <color theme="8" tint="0.59999389629810485"/>
      <name val="BIZ UDPゴシック"/>
      <family val="3"/>
      <charset val="128"/>
    </font>
  </fonts>
  <fills count="8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45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dotted">
        <color auto="1"/>
      </right>
      <top style="medium">
        <color auto="1"/>
      </top>
      <bottom style="thin">
        <color auto="1"/>
      </bottom>
      <diagonal/>
    </border>
    <border>
      <left style="dotted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dotted">
        <color auto="1"/>
      </right>
      <top/>
      <bottom style="thin">
        <color auto="1"/>
      </bottom>
      <diagonal/>
    </border>
    <border>
      <left style="dotted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dotted">
        <color auto="1"/>
      </right>
      <top style="thin">
        <color auto="1"/>
      </top>
      <bottom style="thin">
        <color auto="1"/>
      </bottom>
      <diagonal/>
    </border>
    <border>
      <left style="dotted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tted">
        <color auto="1"/>
      </left>
      <right style="dotted">
        <color auto="1"/>
      </right>
      <top style="medium">
        <color auto="1"/>
      </top>
      <bottom style="thin">
        <color auto="1"/>
      </bottom>
      <diagonal/>
    </border>
    <border>
      <left style="dotted">
        <color auto="1"/>
      </left>
      <right style="dotted">
        <color auto="1"/>
      </right>
      <top/>
      <bottom style="thin">
        <color auto="1"/>
      </bottom>
      <diagonal/>
    </border>
    <border>
      <left style="dotted">
        <color auto="1"/>
      </left>
      <right style="dotted">
        <color auto="1"/>
      </right>
      <top style="thin">
        <color auto="1"/>
      </top>
      <bottom style="thin">
        <color auto="1"/>
      </bottom>
      <diagonal/>
    </border>
    <border>
      <left style="dotted">
        <color auto="1"/>
      </left>
      <right/>
      <top style="medium">
        <color auto="1"/>
      </top>
      <bottom style="thin">
        <color auto="1"/>
      </bottom>
      <diagonal/>
    </border>
    <border>
      <left style="dotted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dotted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dotted">
        <color auto="1"/>
      </left>
      <right style="dotted">
        <color auto="1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 style="thin">
        <color auto="1"/>
      </right>
      <top style="medium">
        <color indexed="64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dotted">
        <color auto="1"/>
      </right>
      <top style="thin">
        <color auto="1"/>
      </top>
      <bottom/>
      <diagonal/>
    </border>
    <border>
      <left style="dotted">
        <color auto="1"/>
      </left>
      <right style="thin">
        <color auto="1"/>
      </right>
      <top style="thin">
        <color auto="1"/>
      </top>
      <bottom/>
      <diagonal/>
    </border>
    <border>
      <left style="dotted">
        <color auto="1"/>
      </left>
      <right style="dotted">
        <color auto="1"/>
      </right>
      <top style="thin">
        <color auto="1"/>
      </top>
      <bottom/>
      <diagonal/>
    </border>
    <border>
      <left style="dotted">
        <color auto="1"/>
      </left>
      <right/>
      <top/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tted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66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0" xfId="0" applyFont="1">
      <alignment vertical="center"/>
    </xf>
    <xf numFmtId="177" fontId="4" fillId="0" borderId="6" xfId="0" applyNumberFormat="1" applyFont="1" applyBorder="1" applyAlignment="1">
      <alignment horizontal="center" vertical="center"/>
    </xf>
    <xf numFmtId="177" fontId="4" fillId="0" borderId="7" xfId="0" applyNumberFormat="1" applyFont="1" applyBorder="1" applyAlignment="1">
      <alignment horizontal="center" vertical="center"/>
    </xf>
    <xf numFmtId="177" fontId="4" fillId="0" borderId="3" xfId="0" applyNumberFormat="1" applyFont="1" applyBorder="1" applyAlignment="1">
      <alignment horizontal="center" vertical="center"/>
    </xf>
    <xf numFmtId="177" fontId="4" fillId="0" borderId="4" xfId="0" applyNumberFormat="1" applyFont="1" applyBorder="1" applyAlignment="1">
      <alignment horizontal="center" vertical="center"/>
    </xf>
    <xf numFmtId="176" fontId="4" fillId="0" borderId="5" xfId="0" applyNumberFormat="1" applyFont="1" applyBorder="1" applyAlignment="1">
      <alignment horizontal="center" vertical="center"/>
    </xf>
    <xf numFmtId="176" fontId="4" fillId="0" borderId="2" xfId="0" applyNumberFormat="1" applyFont="1" applyBorder="1" applyAlignment="1">
      <alignment horizontal="center" vertical="center" wrapText="1"/>
    </xf>
    <xf numFmtId="179" fontId="4" fillId="0" borderId="16" xfId="0" applyNumberFormat="1" applyFont="1" applyBorder="1" applyAlignment="1">
      <alignment horizontal="center" vertical="center"/>
    </xf>
    <xf numFmtId="179" fontId="4" fillId="0" borderId="17" xfId="0" applyNumberFormat="1" applyFont="1" applyBorder="1" applyAlignment="1">
      <alignment horizontal="center" vertical="center"/>
    </xf>
    <xf numFmtId="179" fontId="4" fillId="0" borderId="11" xfId="0" applyNumberFormat="1" applyFont="1" applyBorder="1" applyAlignment="1">
      <alignment horizontal="center" vertical="center"/>
    </xf>
    <xf numFmtId="179" fontId="4" fillId="0" borderId="12" xfId="0" applyNumberFormat="1" applyFont="1" applyBorder="1" applyAlignment="1">
      <alignment horizontal="center" vertical="center"/>
    </xf>
    <xf numFmtId="179" fontId="4" fillId="0" borderId="13" xfId="0" applyNumberFormat="1" applyFont="1" applyBorder="1" applyAlignment="1">
      <alignment horizontal="center" vertical="center"/>
    </xf>
    <xf numFmtId="179" fontId="4" fillId="0" borderId="14" xfId="0" applyNumberFormat="1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9" xfId="0" applyFont="1" applyFill="1" applyBorder="1">
      <alignment vertical="center"/>
    </xf>
    <xf numFmtId="0" fontId="4" fillId="2" borderId="10" xfId="0" applyFont="1" applyFill="1" applyBorder="1">
      <alignment vertical="center"/>
    </xf>
    <xf numFmtId="0" fontId="4" fillId="2" borderId="18" xfId="0" applyFont="1" applyFill="1" applyBorder="1" applyAlignment="1">
      <alignment horizontal="center" vertical="center"/>
    </xf>
    <xf numFmtId="178" fontId="0" fillId="2" borderId="23" xfId="0" applyNumberForma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applyFont="1">
      <alignment vertical="center"/>
    </xf>
    <xf numFmtId="0" fontId="8" fillId="0" borderId="0" xfId="0" applyFont="1">
      <alignment vertical="center"/>
    </xf>
    <xf numFmtId="180" fontId="4" fillId="0" borderId="19" xfId="0" applyNumberFormat="1" applyFont="1" applyBorder="1" applyAlignment="1">
      <alignment horizontal="center" vertical="center"/>
    </xf>
    <xf numFmtId="0" fontId="7" fillId="0" borderId="0" xfId="0" applyFont="1">
      <alignment vertical="center"/>
    </xf>
    <xf numFmtId="0" fontId="8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20" fontId="9" fillId="0" borderId="27" xfId="0" applyNumberFormat="1" applyFont="1" applyBorder="1" applyAlignment="1">
      <alignment horizontal="center" vertical="center"/>
    </xf>
    <xf numFmtId="176" fontId="4" fillId="0" borderId="30" xfId="0" applyNumberFormat="1" applyFont="1" applyBorder="1" applyAlignment="1">
      <alignment horizontal="center" vertical="center" wrapText="1"/>
    </xf>
    <xf numFmtId="177" fontId="4" fillId="0" borderId="31" xfId="0" applyNumberFormat="1" applyFont="1" applyBorder="1" applyAlignment="1">
      <alignment horizontal="center" vertical="center"/>
    </xf>
    <xf numFmtId="177" fontId="4" fillId="0" borderId="32" xfId="0" applyNumberFormat="1" applyFont="1" applyBorder="1" applyAlignment="1">
      <alignment horizontal="center" vertical="center"/>
    </xf>
    <xf numFmtId="179" fontId="4" fillId="0" borderId="33" xfId="0" applyNumberFormat="1" applyFont="1" applyBorder="1" applyAlignment="1">
      <alignment horizontal="center" vertical="center"/>
    </xf>
    <xf numFmtId="179" fontId="4" fillId="0" borderId="34" xfId="0" applyNumberFormat="1" applyFont="1" applyBorder="1" applyAlignment="1">
      <alignment horizontal="center" vertical="center"/>
    </xf>
    <xf numFmtId="179" fontId="4" fillId="0" borderId="35" xfId="0" applyNumberFormat="1" applyFont="1" applyBorder="1" applyAlignment="1">
      <alignment horizontal="center" vertical="center"/>
    </xf>
    <xf numFmtId="180" fontId="4" fillId="0" borderId="36" xfId="0" applyNumberFormat="1" applyFont="1" applyBorder="1" applyAlignment="1">
      <alignment horizontal="center" vertical="center"/>
    </xf>
    <xf numFmtId="178" fontId="0" fillId="2" borderId="38" xfId="0" applyNumberFormat="1" applyFill="1" applyBorder="1" applyAlignment="1">
      <alignment horizontal="center" vertical="center"/>
    </xf>
    <xf numFmtId="20" fontId="0" fillId="2" borderId="23" xfId="0" applyNumberFormat="1" applyFill="1" applyBorder="1">
      <alignment vertical="center"/>
    </xf>
    <xf numFmtId="20" fontId="0" fillId="0" borderId="17" xfId="0" applyNumberFormat="1" applyBorder="1">
      <alignment vertical="center"/>
    </xf>
    <xf numFmtId="20" fontId="0" fillId="0" borderId="14" xfId="0" applyNumberFormat="1" applyBorder="1">
      <alignment vertical="center"/>
    </xf>
    <xf numFmtId="20" fontId="0" fillId="0" borderId="22" xfId="0" applyNumberFormat="1" applyBorder="1">
      <alignment vertical="center"/>
    </xf>
    <xf numFmtId="20" fontId="0" fillId="0" borderId="21" xfId="0" applyNumberFormat="1" applyBorder="1">
      <alignment vertical="center"/>
    </xf>
    <xf numFmtId="0" fontId="0" fillId="0" borderId="4" xfId="0" applyBorder="1">
      <alignment vertical="center"/>
    </xf>
    <xf numFmtId="0" fontId="6" fillId="0" borderId="40" xfId="0" applyFont="1" applyBorder="1">
      <alignment vertical="center"/>
    </xf>
    <xf numFmtId="0" fontId="0" fillId="0" borderId="4" xfId="0" applyBorder="1" applyAlignment="1">
      <alignment horizontal="left" vertical="center"/>
    </xf>
    <xf numFmtId="0" fontId="0" fillId="0" borderId="40" xfId="0" applyBorder="1" applyAlignment="1">
      <alignment horizontal="center" vertical="center"/>
    </xf>
    <xf numFmtId="0" fontId="12" fillId="0" borderId="0" xfId="0" applyFont="1">
      <alignment vertical="center"/>
    </xf>
    <xf numFmtId="0" fontId="13" fillId="0" borderId="0" xfId="0" applyFont="1">
      <alignment vertical="center"/>
    </xf>
    <xf numFmtId="0" fontId="13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14" fontId="14" fillId="0" borderId="0" xfId="0" applyNumberFormat="1" applyFont="1">
      <alignment vertical="center"/>
    </xf>
    <xf numFmtId="0" fontId="15" fillId="0" borderId="4" xfId="0" applyFont="1" applyBorder="1">
      <alignment vertical="center"/>
    </xf>
    <xf numFmtId="0" fontId="15" fillId="0" borderId="41" xfId="0" applyFont="1" applyBorder="1">
      <alignment vertical="center"/>
    </xf>
    <xf numFmtId="14" fontId="15" fillId="0" borderId="0" xfId="0" applyNumberFormat="1" applyFont="1">
      <alignment vertical="center"/>
    </xf>
    <xf numFmtId="0" fontId="15" fillId="0" borderId="0" xfId="0" applyFont="1">
      <alignment vertical="center"/>
    </xf>
    <xf numFmtId="0" fontId="4" fillId="2" borderId="10" xfId="0" applyFont="1" applyFill="1" applyBorder="1" applyAlignment="1">
      <alignment horizontal="center" vertical="center"/>
    </xf>
    <xf numFmtId="0" fontId="15" fillId="0" borderId="40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0" fillId="2" borderId="28" xfId="0" applyFill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2" borderId="39" xfId="0" applyFill="1" applyBorder="1" applyAlignment="1">
      <alignment horizontal="center" vertical="center"/>
    </xf>
    <xf numFmtId="20" fontId="0" fillId="0" borderId="40" xfId="0" applyNumberFormat="1" applyBorder="1" applyAlignment="1">
      <alignment horizontal="center" vertical="center"/>
    </xf>
    <xf numFmtId="14" fontId="15" fillId="0" borderId="3" xfId="0" applyNumberFormat="1" applyFont="1" applyBorder="1" applyAlignment="1">
      <alignment horizontal="center" vertical="center"/>
    </xf>
    <xf numFmtId="0" fontId="0" fillId="0" borderId="41" xfId="0" applyBorder="1">
      <alignment vertical="center"/>
    </xf>
    <xf numFmtId="178" fontId="0" fillId="0" borderId="40" xfId="0" applyNumberFormat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/>
    </xf>
    <xf numFmtId="0" fontId="4" fillId="2" borderId="13" xfId="0" applyFont="1" applyFill="1" applyBorder="1">
      <alignment vertical="center"/>
    </xf>
    <xf numFmtId="0" fontId="4" fillId="2" borderId="14" xfId="0" applyFont="1" applyFill="1" applyBorder="1">
      <alignment vertical="center"/>
    </xf>
    <xf numFmtId="0" fontId="4" fillId="2" borderId="13" xfId="0" applyFont="1" applyFill="1" applyBorder="1" applyAlignment="1">
      <alignment horizontal="center" vertical="center"/>
    </xf>
    <xf numFmtId="0" fontId="4" fillId="2" borderId="17" xfId="0" applyFont="1" applyFill="1" applyBorder="1" applyAlignment="1">
      <alignment horizontal="center" vertical="center"/>
    </xf>
    <xf numFmtId="0" fontId="4" fillId="2" borderId="42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176" fontId="4" fillId="0" borderId="6" xfId="0" applyNumberFormat="1" applyFont="1" applyBorder="1" applyAlignment="1">
      <alignment horizontal="center" vertical="center"/>
    </xf>
    <xf numFmtId="176" fontId="4" fillId="0" borderId="3" xfId="0" applyNumberFormat="1" applyFont="1" applyBorder="1" applyAlignment="1">
      <alignment horizontal="center" vertical="center" wrapText="1"/>
    </xf>
    <xf numFmtId="176" fontId="4" fillId="0" borderId="31" xfId="0" applyNumberFormat="1" applyFont="1" applyBorder="1" applyAlignment="1">
      <alignment horizontal="center" vertical="center" wrapText="1"/>
    </xf>
    <xf numFmtId="178" fontId="0" fillId="2" borderId="43" xfId="0" applyNumberFormat="1" applyFill="1" applyBorder="1" applyAlignment="1">
      <alignment horizontal="center" vertical="center"/>
    </xf>
    <xf numFmtId="178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20" fontId="0" fillId="0" borderId="14" xfId="0" applyNumberFormat="1" applyBorder="1" applyAlignment="1">
      <alignment horizontal="center" vertical="center"/>
    </xf>
    <xf numFmtId="0" fontId="0" fillId="3" borderId="4" xfId="0" applyFill="1" applyBorder="1">
      <alignment vertical="center"/>
    </xf>
    <xf numFmtId="0" fontId="0" fillId="3" borderId="4" xfId="0" applyFill="1" applyBorder="1" applyAlignment="1">
      <alignment horizontal="left" vertical="center"/>
    </xf>
    <xf numFmtId="181" fontId="15" fillId="0" borderId="3" xfId="0" applyNumberFormat="1" applyFont="1" applyBorder="1" applyAlignment="1">
      <alignment horizontal="center" vertical="center"/>
    </xf>
    <xf numFmtId="20" fontId="9" fillId="0" borderId="3" xfId="0" applyNumberFormat="1" applyFont="1" applyBorder="1" applyAlignment="1">
      <alignment horizontal="center" vertical="center"/>
    </xf>
    <xf numFmtId="20" fontId="0" fillId="0" borderId="17" xfId="0" applyNumberFormat="1" applyBorder="1" applyAlignment="1">
      <alignment horizontal="center" vertical="center"/>
    </xf>
    <xf numFmtId="20" fontId="0" fillId="2" borderId="1" xfId="0" applyNumberFormat="1" applyFill="1" applyBorder="1" applyAlignment="1">
      <alignment horizontal="center" vertical="center"/>
    </xf>
    <xf numFmtId="0" fontId="17" fillId="0" borderId="0" xfId="0" applyFont="1">
      <alignment vertical="center"/>
    </xf>
    <xf numFmtId="0" fontId="17" fillId="0" borderId="0" xfId="0" applyFont="1" applyAlignment="1">
      <alignment horizontal="center" vertical="center"/>
    </xf>
    <xf numFmtId="0" fontId="17" fillId="2" borderId="3" xfId="0" applyFont="1" applyFill="1" applyBorder="1" applyAlignment="1">
      <alignment horizontal="center" vertical="center" wrapText="1"/>
    </xf>
    <xf numFmtId="0" fontId="17" fillId="2" borderId="17" xfId="0" applyFont="1" applyFill="1" applyBorder="1" applyAlignment="1">
      <alignment horizontal="center" vertical="center"/>
    </xf>
    <xf numFmtId="0" fontId="17" fillId="2" borderId="42" xfId="0" applyFont="1" applyFill="1" applyBorder="1" applyAlignment="1">
      <alignment horizontal="center" vertical="center"/>
    </xf>
    <xf numFmtId="0" fontId="17" fillId="2" borderId="14" xfId="0" applyFont="1" applyFill="1" applyBorder="1" applyAlignment="1">
      <alignment horizontal="center" vertical="center"/>
    </xf>
    <xf numFmtId="0" fontId="17" fillId="2" borderId="3" xfId="0" applyFont="1" applyFill="1" applyBorder="1" applyAlignment="1">
      <alignment horizontal="center" vertical="center"/>
    </xf>
    <xf numFmtId="176" fontId="17" fillId="0" borderId="6" xfId="0" applyNumberFormat="1" applyFont="1" applyBorder="1" applyAlignment="1">
      <alignment horizontal="center" vertical="center"/>
    </xf>
    <xf numFmtId="177" fontId="17" fillId="0" borderId="6" xfId="0" applyNumberFormat="1" applyFont="1" applyBorder="1" applyAlignment="1">
      <alignment horizontal="center" vertical="center"/>
    </xf>
    <xf numFmtId="177" fontId="17" fillId="0" borderId="7" xfId="0" applyNumberFormat="1" applyFont="1" applyBorder="1" applyAlignment="1">
      <alignment horizontal="center" vertical="center"/>
    </xf>
    <xf numFmtId="179" fontId="17" fillId="0" borderId="11" xfId="0" applyNumberFormat="1" applyFont="1" applyBorder="1" applyAlignment="1">
      <alignment horizontal="center" vertical="center"/>
    </xf>
    <xf numFmtId="179" fontId="17" fillId="0" borderId="12" xfId="0" applyNumberFormat="1" applyFont="1" applyBorder="1" applyAlignment="1">
      <alignment horizontal="center" vertical="center"/>
    </xf>
    <xf numFmtId="180" fontId="17" fillId="0" borderId="19" xfId="0" applyNumberFormat="1" applyFont="1" applyBorder="1" applyAlignment="1">
      <alignment horizontal="center" vertical="center"/>
    </xf>
    <xf numFmtId="20" fontId="17" fillId="0" borderId="17" xfId="0" applyNumberFormat="1" applyFont="1" applyBorder="1" applyAlignment="1">
      <alignment horizontal="center" vertical="center"/>
    </xf>
    <xf numFmtId="20" fontId="17" fillId="0" borderId="14" xfId="0" applyNumberFormat="1" applyFont="1" applyBorder="1" applyAlignment="1">
      <alignment horizontal="center" vertical="center"/>
    </xf>
    <xf numFmtId="176" fontId="17" fillId="0" borderId="3" xfId="0" applyNumberFormat="1" applyFont="1" applyBorder="1" applyAlignment="1">
      <alignment horizontal="center" vertical="center" wrapText="1"/>
    </xf>
    <xf numFmtId="177" fontId="17" fillId="0" borderId="3" xfId="0" applyNumberFormat="1" applyFont="1" applyBorder="1" applyAlignment="1">
      <alignment horizontal="center" vertical="center"/>
    </xf>
    <xf numFmtId="176" fontId="17" fillId="0" borderId="31" xfId="0" applyNumberFormat="1" applyFont="1" applyBorder="1" applyAlignment="1">
      <alignment horizontal="center" vertical="center" wrapText="1"/>
    </xf>
    <xf numFmtId="177" fontId="17" fillId="0" borderId="31" xfId="0" applyNumberFormat="1" applyFont="1" applyBorder="1" applyAlignment="1">
      <alignment horizontal="center" vertical="center"/>
    </xf>
    <xf numFmtId="178" fontId="17" fillId="2" borderId="1" xfId="0" applyNumberFormat="1" applyFont="1" applyFill="1" applyBorder="1" applyAlignment="1">
      <alignment horizontal="center" vertical="center"/>
    </xf>
    <xf numFmtId="20" fontId="17" fillId="2" borderId="1" xfId="0" applyNumberFormat="1" applyFont="1" applyFill="1" applyBorder="1" applyAlignment="1">
      <alignment horizontal="center" vertical="center"/>
    </xf>
    <xf numFmtId="179" fontId="17" fillId="0" borderId="16" xfId="0" applyNumberFormat="1" applyFont="1" applyBorder="1" applyAlignment="1">
      <alignment horizontal="center" vertical="center"/>
    </xf>
    <xf numFmtId="178" fontId="17" fillId="2" borderId="43" xfId="0" applyNumberFormat="1" applyFont="1" applyFill="1" applyBorder="1" applyAlignment="1">
      <alignment horizontal="center" vertical="center"/>
    </xf>
    <xf numFmtId="20" fontId="17" fillId="0" borderId="14" xfId="0" applyNumberFormat="1" applyFont="1" applyBorder="1" applyAlignment="1">
      <alignment horizontal="center" vertical="center" shrinkToFit="1"/>
    </xf>
    <xf numFmtId="20" fontId="18" fillId="0" borderId="14" xfId="0" applyNumberFormat="1" applyFont="1" applyBorder="1" applyAlignment="1">
      <alignment horizontal="center" vertical="center" shrinkToFit="1"/>
    </xf>
    <xf numFmtId="0" fontId="17" fillId="3" borderId="4" xfId="0" applyFont="1" applyFill="1" applyBorder="1" applyAlignment="1">
      <alignment vertical="center" shrinkToFit="1"/>
    </xf>
    <xf numFmtId="0" fontId="17" fillId="0" borderId="40" xfId="0" applyFont="1" applyBorder="1" applyAlignment="1">
      <alignment vertical="center" shrinkToFit="1"/>
    </xf>
    <xf numFmtId="0" fontId="17" fillId="0" borderId="41" xfId="0" applyFont="1" applyBorder="1" applyAlignment="1">
      <alignment vertical="center" shrinkToFit="1"/>
    </xf>
    <xf numFmtId="178" fontId="17" fillId="0" borderId="40" xfId="0" applyNumberFormat="1" applyFont="1" applyBorder="1" applyAlignment="1">
      <alignment horizontal="center" vertical="center" shrinkToFit="1"/>
    </xf>
    <xf numFmtId="49" fontId="17" fillId="0" borderId="40" xfId="0" applyNumberFormat="1" applyFont="1" applyBorder="1" applyAlignment="1">
      <alignment horizontal="center" vertical="center" shrinkToFit="1"/>
    </xf>
    <xf numFmtId="20" fontId="19" fillId="0" borderId="14" xfId="0" applyNumberFormat="1" applyFont="1" applyBorder="1" applyAlignment="1">
      <alignment horizontal="center" vertical="center" shrinkToFit="1"/>
    </xf>
    <xf numFmtId="0" fontId="17" fillId="2" borderId="40" xfId="0" applyFont="1" applyFill="1" applyBorder="1" applyAlignment="1">
      <alignment horizontal="center" vertical="center"/>
    </xf>
    <xf numFmtId="0" fontId="17" fillId="3" borderId="41" xfId="0" applyFont="1" applyFill="1" applyBorder="1" applyAlignment="1">
      <alignment vertical="center" shrinkToFit="1"/>
    </xf>
    <xf numFmtId="178" fontId="17" fillId="0" borderId="16" xfId="0" applyNumberFormat="1" applyFont="1" applyBorder="1" applyAlignment="1">
      <alignment horizontal="center" vertical="center"/>
    </xf>
    <xf numFmtId="0" fontId="17" fillId="2" borderId="13" xfId="0" applyFont="1" applyFill="1" applyBorder="1" applyAlignment="1">
      <alignment horizontal="center" vertical="center"/>
    </xf>
    <xf numFmtId="178" fontId="17" fillId="0" borderId="14" xfId="0" applyNumberFormat="1" applyFont="1" applyBorder="1" applyAlignment="1">
      <alignment horizontal="center" vertical="center"/>
    </xf>
    <xf numFmtId="0" fontId="17" fillId="2" borderId="1" xfId="0" applyFont="1" applyFill="1" applyBorder="1" applyAlignment="1">
      <alignment horizontal="center" vertical="center" wrapText="1"/>
    </xf>
    <xf numFmtId="0" fontId="20" fillId="2" borderId="1" xfId="0" applyFont="1" applyFill="1" applyBorder="1" applyAlignment="1">
      <alignment horizontal="center" vertical="center" shrinkToFit="1"/>
    </xf>
    <xf numFmtId="177" fontId="17" fillId="4" borderId="7" xfId="0" applyNumberFormat="1" applyFont="1" applyFill="1" applyBorder="1" applyAlignment="1">
      <alignment horizontal="center" vertical="center"/>
    </xf>
    <xf numFmtId="0" fontId="17" fillId="0" borderId="40" xfId="0" applyFont="1" applyBorder="1" applyAlignment="1">
      <alignment horizontal="center" vertical="center"/>
    </xf>
    <xf numFmtId="20" fontId="17" fillId="2" borderId="43" xfId="0" applyNumberFormat="1" applyFont="1" applyFill="1" applyBorder="1" applyAlignment="1">
      <alignment horizontal="center" vertical="center"/>
    </xf>
    <xf numFmtId="177" fontId="17" fillId="5" borderId="7" xfId="0" applyNumberFormat="1" applyFont="1" applyFill="1" applyBorder="1" applyAlignment="1">
      <alignment horizontal="center" vertical="center"/>
    </xf>
    <xf numFmtId="177" fontId="17" fillId="6" borderId="7" xfId="0" applyNumberFormat="1" applyFont="1" applyFill="1" applyBorder="1" applyAlignment="1">
      <alignment horizontal="center" vertical="center"/>
    </xf>
    <xf numFmtId="177" fontId="17" fillId="7" borderId="7" xfId="0" applyNumberFormat="1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 shrinkToFit="1"/>
    </xf>
    <xf numFmtId="181" fontId="15" fillId="0" borderId="4" xfId="0" applyNumberFormat="1" applyFont="1" applyBorder="1" applyAlignment="1">
      <alignment horizontal="center" vertical="center"/>
    </xf>
    <xf numFmtId="181" fontId="15" fillId="0" borderId="41" xfId="0" applyNumberFormat="1" applyFont="1" applyBorder="1" applyAlignment="1">
      <alignment horizontal="center" vertical="center"/>
    </xf>
    <xf numFmtId="181" fontId="15" fillId="0" borderId="40" xfId="0" applyNumberFormat="1" applyFont="1" applyBorder="1" applyAlignment="1">
      <alignment horizontal="center" vertical="center"/>
    </xf>
    <xf numFmtId="0" fontId="17" fillId="2" borderId="4" xfId="0" applyFont="1" applyFill="1" applyBorder="1" applyAlignment="1">
      <alignment horizontal="center" vertical="center"/>
    </xf>
    <xf numFmtId="0" fontId="17" fillId="2" borderId="40" xfId="0" applyFont="1" applyFill="1" applyBorder="1" applyAlignment="1">
      <alignment horizontal="center" vertical="center"/>
    </xf>
    <xf numFmtId="0" fontId="17" fillId="2" borderId="43" xfId="0" applyFont="1" applyFill="1" applyBorder="1" applyAlignment="1">
      <alignment horizontal="center" vertical="center"/>
    </xf>
    <xf numFmtId="0" fontId="17" fillId="2" borderId="44" xfId="0" applyFont="1" applyFill="1" applyBorder="1" applyAlignment="1">
      <alignment horizontal="center" vertical="center"/>
    </xf>
    <xf numFmtId="0" fontId="17" fillId="2" borderId="8" xfId="0" applyFont="1" applyFill="1" applyBorder="1" applyAlignment="1">
      <alignment horizontal="center" vertical="center"/>
    </xf>
    <xf numFmtId="0" fontId="17" fillId="3" borderId="4" xfId="0" applyFont="1" applyFill="1" applyBorder="1" applyAlignment="1">
      <alignment horizontal="left" vertical="center"/>
    </xf>
    <xf numFmtId="0" fontId="17" fillId="3" borderId="41" xfId="0" applyFont="1" applyFill="1" applyBorder="1" applyAlignment="1">
      <alignment horizontal="left" vertical="center"/>
    </xf>
    <xf numFmtId="182" fontId="17" fillId="0" borderId="40" xfId="0" applyNumberFormat="1" applyFont="1" applyBorder="1" applyAlignment="1">
      <alignment horizontal="center" vertical="center"/>
    </xf>
    <xf numFmtId="182" fontId="17" fillId="0" borderId="3" xfId="0" applyNumberFormat="1" applyFont="1" applyBorder="1" applyAlignment="1">
      <alignment horizontal="center" vertical="center"/>
    </xf>
    <xf numFmtId="0" fontId="12" fillId="6" borderId="0" xfId="0" applyFont="1" applyFill="1" applyAlignment="1">
      <alignment horizontal="center" vertical="center" wrapText="1"/>
    </xf>
    <xf numFmtId="0" fontId="0" fillId="2" borderId="43" xfId="0" applyFill="1" applyBorder="1" applyAlignment="1">
      <alignment horizontal="center" vertical="center"/>
    </xf>
    <xf numFmtId="0" fontId="0" fillId="2" borderId="44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15" fillId="0" borderId="41" xfId="0" applyFont="1" applyBorder="1" applyAlignment="1">
      <alignment horizontal="center" vertical="center"/>
    </xf>
    <xf numFmtId="0" fontId="15" fillId="0" borderId="40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49" fontId="9" fillId="0" borderId="3" xfId="0" applyNumberFormat="1" applyFont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40" xfId="0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4" fillId="2" borderId="20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0" fillId="2" borderId="24" xfId="0" applyFill="1" applyBorder="1" applyAlignment="1">
      <alignment horizontal="center" vertical="center"/>
    </xf>
    <xf numFmtId="0" fontId="0" fillId="2" borderId="25" xfId="0" applyFill="1" applyBorder="1" applyAlignment="1">
      <alignment horizontal="center" vertical="center"/>
    </xf>
    <xf numFmtId="0" fontId="0" fillId="2" borderId="26" xfId="0" applyFill="1" applyBorder="1" applyAlignment="1">
      <alignment horizontal="center" vertical="center"/>
    </xf>
  </cellXfs>
  <cellStyles count="1">
    <cellStyle name="標準" xfId="0" builtinId="0"/>
  </cellStyles>
  <dxfs count="66">
    <dxf>
      <font>
        <color rgb="FFC00000"/>
      </font>
      <fill>
        <patternFill>
          <bgColor theme="5" tint="0.59996337778862885"/>
        </patternFill>
      </fill>
    </dxf>
    <dxf>
      <font>
        <color rgb="FF0070C0"/>
      </font>
      <fill>
        <patternFill>
          <bgColor theme="8" tint="0.79998168889431442"/>
        </patternFill>
      </fill>
    </dxf>
    <dxf>
      <font>
        <color rgb="FFC00000"/>
      </font>
      <fill>
        <patternFill>
          <bgColor theme="5" tint="0.59996337778862885"/>
        </patternFill>
      </fill>
    </dxf>
    <dxf>
      <font>
        <color rgb="FF0070C0"/>
      </font>
      <fill>
        <patternFill>
          <bgColor theme="8" tint="0.79998168889431442"/>
        </patternFill>
      </fill>
    </dxf>
    <dxf>
      <font>
        <color rgb="FFC00000"/>
      </font>
      <fill>
        <patternFill>
          <bgColor theme="5" tint="0.59996337778862885"/>
        </patternFill>
      </fill>
    </dxf>
    <dxf>
      <font>
        <color rgb="FF0070C0"/>
      </font>
      <fill>
        <patternFill>
          <bgColor theme="8" tint="0.79998168889431442"/>
        </patternFill>
      </fill>
    </dxf>
    <dxf>
      <font>
        <color rgb="FFC00000"/>
      </font>
      <fill>
        <patternFill>
          <bgColor theme="5" tint="0.59996337778862885"/>
        </patternFill>
      </fill>
    </dxf>
    <dxf>
      <font>
        <color rgb="FF0070C0"/>
      </font>
      <fill>
        <patternFill>
          <bgColor theme="8" tint="0.79998168889431442"/>
        </patternFill>
      </fill>
    </dxf>
    <dxf>
      <font>
        <color rgb="FFC00000"/>
      </font>
      <fill>
        <patternFill>
          <bgColor theme="5" tint="0.59996337778862885"/>
        </patternFill>
      </fill>
    </dxf>
    <dxf>
      <font>
        <color rgb="FF0070C0"/>
      </font>
      <fill>
        <patternFill>
          <bgColor theme="8" tint="0.79998168889431442"/>
        </patternFill>
      </fill>
    </dxf>
    <dxf>
      <font>
        <color rgb="FFC00000"/>
      </font>
      <fill>
        <patternFill>
          <bgColor theme="5" tint="0.59996337778862885"/>
        </patternFill>
      </fill>
    </dxf>
    <dxf>
      <font>
        <color rgb="FF0070C0"/>
      </font>
      <fill>
        <patternFill>
          <bgColor theme="8" tint="0.79998168889431442"/>
        </patternFill>
      </fill>
    </dxf>
    <dxf>
      <font>
        <color rgb="FFC00000"/>
      </font>
      <fill>
        <patternFill>
          <bgColor theme="5" tint="0.59996337778862885"/>
        </patternFill>
      </fill>
    </dxf>
    <dxf>
      <font>
        <color rgb="FF0070C0"/>
      </font>
      <fill>
        <patternFill>
          <bgColor theme="8" tint="0.79998168889431442"/>
        </patternFill>
      </fill>
    </dxf>
    <dxf>
      <font>
        <color rgb="FFC00000"/>
      </font>
      <fill>
        <patternFill>
          <bgColor theme="5" tint="0.59996337778862885"/>
        </patternFill>
      </fill>
    </dxf>
    <dxf>
      <font>
        <color rgb="FF0070C0"/>
      </font>
      <fill>
        <patternFill>
          <bgColor theme="8" tint="0.79998168889431442"/>
        </patternFill>
      </fill>
    </dxf>
    <dxf>
      <font>
        <color rgb="FFC00000"/>
      </font>
      <fill>
        <patternFill>
          <bgColor theme="5" tint="0.59996337778862885"/>
        </patternFill>
      </fill>
    </dxf>
    <dxf>
      <font>
        <color rgb="FF0070C0"/>
      </font>
      <fill>
        <patternFill>
          <bgColor theme="8" tint="0.79998168889431442"/>
        </patternFill>
      </fill>
    </dxf>
    <dxf>
      <font>
        <color rgb="FFC00000"/>
      </font>
      <fill>
        <patternFill>
          <bgColor theme="5" tint="0.59996337778862885"/>
        </patternFill>
      </fill>
    </dxf>
    <dxf>
      <font>
        <color rgb="FF0070C0"/>
      </font>
      <fill>
        <patternFill>
          <bgColor theme="8" tint="0.79998168889431442"/>
        </patternFill>
      </fill>
    </dxf>
    <dxf>
      <font>
        <color rgb="FFC00000"/>
      </font>
      <fill>
        <patternFill>
          <bgColor theme="5" tint="0.59996337778862885"/>
        </patternFill>
      </fill>
    </dxf>
    <dxf>
      <font>
        <color rgb="FF0070C0"/>
      </font>
      <fill>
        <patternFill>
          <bgColor theme="8" tint="0.79998168889431442"/>
        </patternFill>
      </fill>
    </dxf>
    <dxf>
      <font>
        <color rgb="FFC00000"/>
      </font>
      <fill>
        <patternFill>
          <bgColor theme="5" tint="0.59996337778862885"/>
        </patternFill>
      </fill>
    </dxf>
    <dxf>
      <font>
        <color rgb="FF0070C0"/>
      </font>
      <fill>
        <patternFill>
          <bgColor theme="8" tint="0.79998168889431442"/>
        </patternFill>
      </fill>
    </dxf>
    <dxf>
      <font>
        <color rgb="FFC00000"/>
      </font>
      <fill>
        <patternFill>
          <bgColor theme="5" tint="0.59996337778862885"/>
        </patternFill>
      </fill>
    </dxf>
    <dxf>
      <font>
        <color rgb="FF0070C0"/>
      </font>
      <fill>
        <patternFill>
          <bgColor theme="8" tint="0.79998168889431442"/>
        </patternFill>
      </fill>
    </dxf>
    <dxf>
      <font>
        <color rgb="FFC00000"/>
      </font>
      <fill>
        <patternFill>
          <bgColor theme="5" tint="0.59996337778862885"/>
        </patternFill>
      </fill>
    </dxf>
    <dxf>
      <font>
        <color rgb="FF0070C0"/>
      </font>
      <fill>
        <patternFill>
          <bgColor theme="8" tint="0.79998168889431442"/>
        </patternFill>
      </fill>
    </dxf>
    <dxf>
      <font>
        <color rgb="FFC00000"/>
      </font>
      <fill>
        <patternFill>
          <bgColor theme="5" tint="0.59996337778862885"/>
        </patternFill>
      </fill>
    </dxf>
    <dxf>
      <font>
        <color rgb="FF0070C0"/>
      </font>
      <fill>
        <patternFill>
          <bgColor theme="8" tint="0.79998168889431442"/>
        </patternFill>
      </fill>
    </dxf>
    <dxf>
      <font>
        <color rgb="FFC00000"/>
      </font>
      <fill>
        <patternFill>
          <bgColor theme="5" tint="0.59996337778862885"/>
        </patternFill>
      </fill>
    </dxf>
    <dxf>
      <font>
        <color rgb="FF0070C0"/>
      </font>
      <fill>
        <patternFill>
          <bgColor theme="8" tint="0.79998168889431442"/>
        </patternFill>
      </fill>
    </dxf>
    <dxf>
      <font>
        <color rgb="FFC00000"/>
      </font>
      <fill>
        <patternFill>
          <bgColor theme="5" tint="0.59996337778862885"/>
        </patternFill>
      </fill>
    </dxf>
    <dxf>
      <font>
        <color rgb="FF0070C0"/>
      </font>
      <fill>
        <patternFill>
          <bgColor theme="8" tint="0.79998168889431442"/>
        </patternFill>
      </fill>
    </dxf>
    <dxf>
      <font>
        <color rgb="FFC00000"/>
      </font>
      <fill>
        <patternFill>
          <bgColor theme="5" tint="0.59996337778862885"/>
        </patternFill>
      </fill>
    </dxf>
    <dxf>
      <font>
        <color rgb="FF0070C0"/>
      </font>
      <fill>
        <patternFill>
          <bgColor theme="8" tint="0.79998168889431442"/>
        </patternFill>
      </fill>
    </dxf>
    <dxf>
      <font>
        <color rgb="FFC00000"/>
      </font>
      <fill>
        <patternFill>
          <bgColor theme="5" tint="0.59996337778862885"/>
        </patternFill>
      </fill>
    </dxf>
    <dxf>
      <font>
        <color rgb="FF0070C0"/>
      </font>
      <fill>
        <patternFill>
          <bgColor theme="8" tint="0.79998168889431442"/>
        </patternFill>
      </fill>
    </dxf>
    <dxf>
      <font>
        <color rgb="FFC00000"/>
      </font>
      <fill>
        <patternFill>
          <bgColor theme="5" tint="0.59996337778862885"/>
        </patternFill>
      </fill>
    </dxf>
    <dxf>
      <font>
        <color rgb="FF0070C0"/>
      </font>
      <fill>
        <patternFill>
          <bgColor theme="8" tint="0.79998168889431442"/>
        </patternFill>
      </fill>
    </dxf>
    <dxf>
      <font>
        <color rgb="FFC00000"/>
      </font>
      <fill>
        <patternFill>
          <bgColor theme="5" tint="0.59996337778862885"/>
        </patternFill>
      </fill>
    </dxf>
    <dxf>
      <font>
        <color rgb="FF0070C0"/>
      </font>
      <fill>
        <patternFill>
          <bgColor theme="8" tint="0.79998168889431442"/>
        </patternFill>
      </fill>
    </dxf>
    <dxf>
      <font>
        <color rgb="FFC00000"/>
      </font>
      <fill>
        <patternFill>
          <bgColor theme="5" tint="0.59996337778862885"/>
        </patternFill>
      </fill>
    </dxf>
    <dxf>
      <font>
        <color rgb="FF0070C0"/>
      </font>
      <fill>
        <patternFill>
          <bgColor theme="8" tint="0.79998168889431442"/>
        </patternFill>
      </fill>
    </dxf>
    <dxf>
      <font>
        <color rgb="FFC00000"/>
      </font>
      <fill>
        <patternFill>
          <bgColor theme="5" tint="0.59996337778862885"/>
        </patternFill>
      </fill>
    </dxf>
    <dxf>
      <font>
        <color rgb="FF0070C0"/>
      </font>
      <fill>
        <patternFill>
          <bgColor theme="8" tint="0.79998168889431442"/>
        </patternFill>
      </fill>
    </dxf>
    <dxf>
      <font>
        <color rgb="FFC00000"/>
      </font>
      <fill>
        <patternFill>
          <bgColor theme="5" tint="0.59996337778862885"/>
        </patternFill>
      </fill>
    </dxf>
    <dxf>
      <font>
        <color rgb="FF0070C0"/>
      </font>
      <fill>
        <patternFill>
          <bgColor theme="8" tint="0.79998168889431442"/>
        </patternFill>
      </fill>
    </dxf>
    <dxf>
      <font>
        <color rgb="FFC00000"/>
      </font>
      <fill>
        <patternFill>
          <bgColor theme="5" tint="0.59996337778862885"/>
        </patternFill>
      </fill>
    </dxf>
    <dxf>
      <font>
        <color rgb="FF0070C0"/>
      </font>
      <fill>
        <patternFill>
          <bgColor theme="8" tint="0.79998168889431442"/>
        </patternFill>
      </fill>
    </dxf>
    <dxf>
      <font>
        <color rgb="FFC00000"/>
      </font>
      <fill>
        <patternFill>
          <bgColor theme="5" tint="0.59996337778862885"/>
        </patternFill>
      </fill>
    </dxf>
    <dxf>
      <font>
        <color rgb="FF0070C0"/>
      </font>
      <fill>
        <patternFill>
          <bgColor theme="8" tint="0.79998168889431442"/>
        </patternFill>
      </fill>
    </dxf>
    <dxf>
      <font>
        <color rgb="FFC00000"/>
      </font>
      <fill>
        <patternFill>
          <bgColor theme="5" tint="0.59996337778862885"/>
        </patternFill>
      </fill>
    </dxf>
    <dxf>
      <font>
        <color rgb="FF0070C0"/>
      </font>
      <fill>
        <patternFill>
          <bgColor theme="8" tint="0.79998168889431442"/>
        </patternFill>
      </fill>
    </dxf>
    <dxf>
      <font>
        <color rgb="FFC00000"/>
      </font>
      <fill>
        <patternFill>
          <bgColor theme="5" tint="0.59996337778862885"/>
        </patternFill>
      </fill>
    </dxf>
    <dxf>
      <font>
        <color rgb="FF0070C0"/>
      </font>
      <fill>
        <patternFill>
          <bgColor theme="8" tint="0.79998168889431442"/>
        </patternFill>
      </fill>
    </dxf>
    <dxf>
      <font>
        <color rgb="FFC00000"/>
      </font>
      <fill>
        <patternFill>
          <bgColor theme="5" tint="0.59996337778862885"/>
        </patternFill>
      </fill>
    </dxf>
    <dxf>
      <font>
        <color rgb="FF0070C0"/>
      </font>
      <fill>
        <patternFill>
          <bgColor theme="8" tint="0.79998168889431442"/>
        </patternFill>
      </fill>
    </dxf>
    <dxf>
      <font>
        <color rgb="FFC00000"/>
      </font>
      <fill>
        <patternFill>
          <bgColor theme="5" tint="0.59996337778862885"/>
        </patternFill>
      </fill>
    </dxf>
    <dxf>
      <font>
        <color rgb="FF0070C0"/>
      </font>
      <fill>
        <patternFill>
          <bgColor theme="8" tint="0.79998168889431442"/>
        </patternFill>
      </fill>
    </dxf>
    <dxf>
      <font>
        <color rgb="FFC00000"/>
      </font>
      <fill>
        <patternFill>
          <bgColor theme="5" tint="0.59996337778862885"/>
        </patternFill>
      </fill>
    </dxf>
    <dxf>
      <font>
        <color rgb="FF0070C0"/>
      </font>
      <fill>
        <patternFill>
          <bgColor theme="8" tint="0.79998168889431442"/>
        </patternFill>
      </fill>
    </dxf>
    <dxf>
      <font>
        <color rgb="FFC00000"/>
      </font>
      <fill>
        <patternFill>
          <bgColor theme="5" tint="0.59996337778862885"/>
        </patternFill>
      </fill>
    </dxf>
    <dxf>
      <font>
        <color rgb="FF0070C0"/>
      </font>
      <fill>
        <patternFill>
          <bgColor theme="8" tint="0.79998168889431442"/>
        </patternFill>
      </fill>
    </dxf>
    <dxf>
      <font>
        <color rgb="FFC00000"/>
      </font>
      <fill>
        <patternFill>
          <bgColor theme="5" tint="0.59996337778862885"/>
        </patternFill>
      </fill>
    </dxf>
    <dxf>
      <font>
        <color rgb="FF0070C0"/>
      </font>
      <fill>
        <patternFill>
          <bgColor theme="8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4" Type="http://schemas.openxmlformats.org/officeDocument/2006/relationships/sheetMetadata" Target="metadata.xml"/><Relationship Id="rId33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32" Type="http://schemas.openxmlformats.org/officeDocument/2006/relationships/styles" Target="styles.xml"/><Relationship Id="rId31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 fitToPage="1"/>
  </sheetPr>
  <dimension ref="A1:M40"/>
  <sheetViews>
    <sheetView showGridLines="0" zoomScale="70" zoomScaleNormal="70" workbookViewId="0">
      <selection activeCell="H2" sqref="H2:J2"/>
    </sheetView>
  </sheetViews>
  <sheetFormatPr defaultColWidth="8.625" defaultRowHeight="13.5"/>
  <cols>
    <col min="1" max="2" width="5.25" style="92" customWidth="1"/>
    <col min="3" max="3" width="9.25" style="93" bestFit="1" customWidth="1"/>
    <col min="4" max="4" width="10" style="92" bestFit="1" customWidth="1"/>
    <col min="5" max="5" width="9.625" style="92" customWidth="1"/>
    <col min="6" max="6" width="9.375" style="93" bestFit="1" customWidth="1"/>
    <col min="7" max="7" width="13.375" style="92" customWidth="1"/>
    <col min="8" max="8" width="6.875" style="92" bestFit="1" customWidth="1"/>
    <col min="9" max="9" width="9.375" style="92" bestFit="1" customWidth="1"/>
    <col min="10" max="10" width="9.25" style="92" bestFit="1" customWidth="1"/>
    <col min="11" max="11" width="9.25" style="92" customWidth="1"/>
    <col min="12" max="12" width="7.75" style="92" customWidth="1"/>
    <col min="13" max="13" width="9.125" style="93" customWidth="1"/>
    <col min="14" max="14" width="2.625" style="92" customWidth="1"/>
    <col min="15" max="16384" width="8.625" style="92"/>
  </cols>
  <sheetData>
    <row r="1" spans="1:13" ht="7.5" customHeight="1"/>
    <row r="2" spans="1:13" s="51" customFormat="1" ht="30.75" customHeight="1">
      <c r="A2" s="136">
        <v>2026</v>
      </c>
      <c r="B2" s="136"/>
      <c r="C2" s="52" t="s">
        <v>0</v>
      </c>
      <c r="D2" s="52">
        <v>6</v>
      </c>
      <c r="E2" s="52" t="s">
        <v>10</v>
      </c>
      <c r="F2" s="54"/>
      <c r="G2" s="88" t="s">
        <v>27</v>
      </c>
      <c r="H2" s="137" t="s">
        <v>29</v>
      </c>
      <c r="I2" s="138"/>
      <c r="J2" s="138"/>
      <c r="K2" s="138" t="s">
        <v>71</v>
      </c>
      <c r="L2" s="138"/>
      <c r="M2" s="139"/>
    </row>
    <row r="4" spans="1:13" ht="20.100000000000001" customHeight="1">
      <c r="A4" s="140" t="s">
        <v>7</v>
      </c>
      <c r="B4" s="141"/>
      <c r="C4" s="94" t="s">
        <v>15</v>
      </c>
      <c r="D4" s="126" t="s">
        <v>54</v>
      </c>
      <c r="E4" s="97" t="s">
        <v>67</v>
      </c>
      <c r="F4" s="95" t="s">
        <v>68</v>
      </c>
      <c r="G4" s="96" t="s">
        <v>69</v>
      </c>
      <c r="H4" s="96" t="s">
        <v>55</v>
      </c>
      <c r="I4" s="95" t="s">
        <v>61</v>
      </c>
      <c r="J4" s="97" t="s">
        <v>66</v>
      </c>
      <c r="K4" s="123" t="s">
        <v>12</v>
      </c>
      <c r="L4" s="123" t="s">
        <v>74</v>
      </c>
      <c r="M4" s="98" t="s">
        <v>28</v>
      </c>
    </row>
    <row r="5" spans="1:13" ht="20.100000000000001" customHeight="1">
      <c r="A5" s="99">
        <f>DATE($A$2, $D$2, 1)</f>
        <v>46174</v>
      </c>
      <c r="B5" s="100">
        <f>A5</f>
        <v>46174</v>
      </c>
      <c r="C5" s="101" t="s">
        <v>4</v>
      </c>
      <c r="D5" s="102"/>
      <c r="E5" s="103"/>
      <c r="F5" s="125">
        <v>0.33333333333333331</v>
      </c>
      <c r="G5" s="104">
        <v>0.70833333333333337</v>
      </c>
      <c r="H5" s="104"/>
      <c r="I5" s="105"/>
      <c r="J5" s="106">
        <v>8.3333333333333329E-2</v>
      </c>
      <c r="K5" s="127">
        <f>IF(AND(F5&lt;&gt;"",G5&lt;&gt;""),
   IF(D5&lt;&gt;"",D5,0)
 + IF(E5&lt;&gt;"",E5,0)
 + (G5-F5)
 + IF(H5&lt;&gt;"",H5,0)
 + IF(I5&lt;&gt;"",I5,0)
 - IF(J5&lt;&gt;"",J5,0),
"")</f>
        <v>0.29166666666666674</v>
      </c>
      <c r="L5" s="127" t="str">
        <f>IF(K5="","",
   IF(K5-TIME(7,0,0)&gt;=0,
      TEXT(K5-TIME(7,0,0),"h:mm"),
      "-" &amp; TEXT(ABS(K5-TIME(7,0,0)),"h:mm")
   )
)</f>
        <v>0:00</v>
      </c>
      <c r="M5" s="115"/>
    </row>
    <row r="6" spans="1:13" ht="20.100000000000001" customHeight="1">
      <c r="A6" s="107">
        <f t="shared" ref="A6:A35" si="0">IF(MONTH($A$5)=MONTH($A$5+ROW()-ROW($A$5)),$A$5+ROW()-ROW($A$5),"")</f>
        <v>46175</v>
      </c>
      <c r="B6" s="108">
        <f t="shared" ref="B6:B35" si="1">A6</f>
        <v>46175</v>
      </c>
      <c r="C6" s="101" t="s">
        <v>4</v>
      </c>
      <c r="D6" s="102"/>
      <c r="E6" s="103"/>
      <c r="F6" s="125">
        <v>0.33333333333333331</v>
      </c>
      <c r="G6" s="104">
        <v>0.70833333333333337</v>
      </c>
      <c r="H6" s="104"/>
      <c r="I6" s="105"/>
      <c r="J6" s="106">
        <v>8.3333333333333329E-2</v>
      </c>
      <c r="K6" s="127">
        <f t="shared" ref="K6" si="2">IF(AND(F6&lt;&gt;"",G6&lt;&gt;""),
   IF(D6&lt;&gt;"",D6,0)
 + IF(E6&lt;&gt;"",E6,0)
 + (G6-F6)
 + IF(H6&lt;&gt;"",H6,0)
 + IF(I6&lt;&gt;"",I6,0)
 - IF(J6&lt;&gt;"",J6,0),
"")</f>
        <v>0.29166666666666674</v>
      </c>
      <c r="L6" s="127" t="str">
        <f t="shared" ref="L6" si="3">IF(K6="","",
   IF(K6-TIME(7,0,0)&gt;=0,
      TEXT(K6-TIME(7,0,0),"h:mm"),
      "-" &amp; TEXT(ABS(K6-TIME(7,0,0)),"h:mm")
   )
)</f>
        <v>0:00</v>
      </c>
      <c r="M6" s="115"/>
    </row>
    <row r="7" spans="1:13" ht="20.100000000000001" customHeight="1">
      <c r="A7" s="107">
        <f t="shared" si="0"/>
        <v>46176</v>
      </c>
      <c r="B7" s="108">
        <f t="shared" si="1"/>
        <v>46176</v>
      </c>
      <c r="C7" s="101" t="s">
        <v>4</v>
      </c>
      <c r="D7" s="102"/>
      <c r="E7" s="103"/>
      <c r="F7" s="125">
        <v>0.33333333333333331</v>
      </c>
      <c r="G7" s="104">
        <v>0.70833333333333337</v>
      </c>
      <c r="H7" s="104"/>
      <c r="I7" s="105"/>
      <c r="J7" s="106">
        <v>8.3333333333333329E-2</v>
      </c>
      <c r="K7" s="127">
        <f t="shared" ref="K7" si="4">IF(AND(F7&lt;&gt;"",G7&lt;&gt;""),
   IF(D7&lt;&gt;"",D7,0)
 + IF(E7&lt;&gt;"",E7,0)
 + (G7-F7)
 + IF(H7&lt;&gt;"",H7,0)
 + IF(I7&lt;&gt;"",I7,0)
 - IF(J7&lt;&gt;"",J7,0),
"")</f>
        <v>0.29166666666666674</v>
      </c>
      <c r="L7" s="127" t="str">
        <f t="shared" ref="L7" si="5">IF(K7="","",
   IF(K7-TIME(7,0,0)&gt;=0,
      TEXT(K7-TIME(7,0,0),"h:mm"),
      "-" &amp; TEXT(ABS(K7-TIME(7,0,0)),"h:mm")
   )
)</f>
        <v>0:00</v>
      </c>
      <c r="M7" s="115"/>
    </row>
    <row r="8" spans="1:13" ht="20.100000000000001" customHeight="1">
      <c r="A8" s="107">
        <f t="shared" si="0"/>
        <v>46177</v>
      </c>
      <c r="B8" s="108">
        <f t="shared" si="1"/>
        <v>46177</v>
      </c>
      <c r="C8" s="101" t="s">
        <v>4</v>
      </c>
      <c r="D8" s="102"/>
      <c r="E8" s="103"/>
      <c r="F8" s="125">
        <v>0.33333333333333331</v>
      </c>
      <c r="G8" s="104">
        <v>0.70833333333333337</v>
      </c>
      <c r="H8" s="104"/>
      <c r="I8" s="105"/>
      <c r="J8" s="106">
        <v>8.3333333333333329E-2</v>
      </c>
      <c r="K8" s="127">
        <f t="shared" ref="K8:K35" si="6">IF(AND(F8&lt;&gt;"",G8&lt;&gt;""),
   IF(D8&lt;&gt;"",D8,0)
 + IF(E8&lt;&gt;"",E8,0)
 + (G8-F8)
 + IF(H8&lt;&gt;"",H8,0)
 + IF(I8&lt;&gt;"",I8,0)
 - IF(J8&lt;&gt;"",J8,0),
"")</f>
        <v>0.29166666666666674</v>
      </c>
      <c r="L8" s="127" t="str">
        <f t="shared" ref="L8:L35" si="7">IF(K8="","",
   IF(K8-TIME(7,0,0)&gt;=0,
      TEXT(K8-TIME(7,0,0),"h:mm"),
      "-" &amp; TEXT(ABS(K8-TIME(7,0,0)),"h:mm")
   )
)</f>
        <v>0:00</v>
      </c>
      <c r="M8" s="115"/>
    </row>
    <row r="9" spans="1:13" ht="20.100000000000001" customHeight="1">
      <c r="A9" s="107">
        <f t="shared" si="0"/>
        <v>46178</v>
      </c>
      <c r="B9" s="108">
        <f t="shared" si="1"/>
        <v>46178</v>
      </c>
      <c r="C9" s="101" t="s">
        <v>4</v>
      </c>
      <c r="D9" s="102"/>
      <c r="E9" s="103"/>
      <c r="F9" s="125">
        <v>0.33333333333333331</v>
      </c>
      <c r="G9" s="104">
        <v>0.70833333333333337</v>
      </c>
      <c r="H9" s="104"/>
      <c r="I9" s="105"/>
      <c r="J9" s="106">
        <v>8.3333333333333329E-2</v>
      </c>
      <c r="K9" s="127">
        <f t="shared" si="6"/>
        <v>0.29166666666666674</v>
      </c>
      <c r="L9" s="127" t="str">
        <f t="shared" si="7"/>
        <v>0:00</v>
      </c>
      <c r="M9" s="115"/>
    </row>
    <row r="10" spans="1:13" ht="20.100000000000001" customHeight="1">
      <c r="A10" s="107">
        <f t="shared" si="0"/>
        <v>46179</v>
      </c>
      <c r="B10" s="108">
        <f t="shared" si="1"/>
        <v>46179</v>
      </c>
      <c r="C10" s="101" t="s">
        <v>4</v>
      </c>
      <c r="D10" s="102"/>
      <c r="E10" s="103"/>
      <c r="F10" s="125">
        <v>0.33333333333333331</v>
      </c>
      <c r="G10" s="104">
        <v>0.70833333333333337</v>
      </c>
      <c r="H10" s="104"/>
      <c r="I10" s="105"/>
      <c r="J10" s="106">
        <v>8.3333333333333329E-2</v>
      </c>
      <c r="K10" s="127">
        <f t="shared" si="6"/>
        <v>0.29166666666666674</v>
      </c>
      <c r="L10" s="127" t="str">
        <f t="shared" si="7"/>
        <v>0:00</v>
      </c>
      <c r="M10" s="115"/>
    </row>
    <row r="11" spans="1:13" ht="20.100000000000001" customHeight="1">
      <c r="A11" s="107">
        <f t="shared" si="0"/>
        <v>46180</v>
      </c>
      <c r="B11" s="108">
        <f t="shared" si="1"/>
        <v>46180</v>
      </c>
      <c r="C11" s="133" t="s">
        <v>6</v>
      </c>
      <c r="D11" s="102"/>
      <c r="E11" s="103"/>
      <c r="F11" s="125"/>
      <c r="G11" s="104"/>
      <c r="H11" s="104"/>
      <c r="I11" s="105"/>
      <c r="J11" s="106"/>
      <c r="K11" s="127" t="str">
        <f t="shared" si="6"/>
        <v/>
      </c>
      <c r="L11" s="127" t="str">
        <f t="shared" si="7"/>
        <v/>
      </c>
      <c r="M11" s="115"/>
    </row>
    <row r="12" spans="1:13" ht="20.100000000000001" customHeight="1">
      <c r="A12" s="107">
        <f t="shared" si="0"/>
        <v>46181</v>
      </c>
      <c r="B12" s="108">
        <f t="shared" si="1"/>
        <v>46181</v>
      </c>
      <c r="C12" s="101" t="s">
        <v>4</v>
      </c>
      <c r="D12" s="102"/>
      <c r="E12" s="103"/>
      <c r="F12" s="125">
        <v>0.33333333333333331</v>
      </c>
      <c r="G12" s="104">
        <v>0.70833333333333337</v>
      </c>
      <c r="H12" s="104"/>
      <c r="I12" s="105"/>
      <c r="J12" s="106">
        <v>8.3333333333333329E-2</v>
      </c>
      <c r="K12" s="127">
        <f t="shared" si="6"/>
        <v>0.29166666666666674</v>
      </c>
      <c r="L12" s="127" t="str">
        <f t="shared" si="7"/>
        <v>0:00</v>
      </c>
      <c r="M12" s="115"/>
    </row>
    <row r="13" spans="1:13" ht="20.100000000000001" customHeight="1">
      <c r="A13" s="107">
        <f t="shared" si="0"/>
        <v>46182</v>
      </c>
      <c r="B13" s="108">
        <f t="shared" si="1"/>
        <v>46182</v>
      </c>
      <c r="C13" s="101" t="s">
        <v>4</v>
      </c>
      <c r="D13" s="102"/>
      <c r="E13" s="103"/>
      <c r="F13" s="125">
        <v>0.33333333333333331</v>
      </c>
      <c r="G13" s="104">
        <v>0.70833333333333337</v>
      </c>
      <c r="H13" s="104"/>
      <c r="I13" s="105"/>
      <c r="J13" s="106">
        <v>8.3333333333333329E-2</v>
      </c>
      <c r="K13" s="127">
        <f t="shared" si="6"/>
        <v>0.29166666666666674</v>
      </c>
      <c r="L13" s="127" t="str">
        <f t="shared" si="7"/>
        <v>0:00</v>
      </c>
      <c r="M13" s="115"/>
    </row>
    <row r="14" spans="1:13" ht="20.100000000000001" customHeight="1">
      <c r="A14" s="107">
        <f t="shared" si="0"/>
        <v>46183</v>
      </c>
      <c r="B14" s="108">
        <f t="shared" si="1"/>
        <v>46183</v>
      </c>
      <c r="C14" s="101" t="s">
        <v>4</v>
      </c>
      <c r="D14" s="102"/>
      <c r="E14" s="103"/>
      <c r="F14" s="125">
        <v>0.33333333333333331</v>
      </c>
      <c r="G14" s="104">
        <v>0.70833333333333337</v>
      </c>
      <c r="H14" s="104"/>
      <c r="I14" s="105"/>
      <c r="J14" s="106">
        <v>8.3333333333333329E-2</v>
      </c>
      <c r="K14" s="127">
        <f t="shared" si="6"/>
        <v>0.29166666666666674</v>
      </c>
      <c r="L14" s="127" t="str">
        <f t="shared" si="7"/>
        <v>0:00</v>
      </c>
      <c r="M14" s="115"/>
    </row>
    <row r="15" spans="1:13" ht="20.100000000000001" customHeight="1">
      <c r="A15" s="107">
        <f t="shared" si="0"/>
        <v>46184</v>
      </c>
      <c r="B15" s="108">
        <f t="shared" si="1"/>
        <v>46184</v>
      </c>
      <c r="C15" s="101" t="s">
        <v>4</v>
      </c>
      <c r="D15" s="102"/>
      <c r="E15" s="103"/>
      <c r="F15" s="125">
        <v>0.33333333333333331</v>
      </c>
      <c r="G15" s="104">
        <v>0.70833333333333337</v>
      </c>
      <c r="H15" s="104"/>
      <c r="I15" s="105"/>
      <c r="J15" s="106">
        <v>8.3333333333333329E-2</v>
      </c>
      <c r="K15" s="127">
        <f t="shared" si="6"/>
        <v>0.29166666666666674</v>
      </c>
      <c r="L15" s="127" t="str">
        <f t="shared" si="7"/>
        <v>0:00</v>
      </c>
      <c r="M15" s="115"/>
    </row>
    <row r="16" spans="1:13" ht="20.100000000000001" customHeight="1">
      <c r="A16" s="107">
        <f t="shared" si="0"/>
        <v>46185</v>
      </c>
      <c r="B16" s="108">
        <f t="shared" si="1"/>
        <v>46185</v>
      </c>
      <c r="C16" s="101" t="s">
        <v>4</v>
      </c>
      <c r="D16" s="102"/>
      <c r="E16" s="103"/>
      <c r="F16" s="125">
        <v>0.33333333333333331</v>
      </c>
      <c r="G16" s="104">
        <v>0.70833333333333337</v>
      </c>
      <c r="H16" s="104"/>
      <c r="I16" s="105"/>
      <c r="J16" s="106">
        <v>8.3333333333333329E-2</v>
      </c>
      <c r="K16" s="127">
        <f t="shared" si="6"/>
        <v>0.29166666666666674</v>
      </c>
      <c r="L16" s="127" t="str">
        <f t="shared" si="7"/>
        <v>0:00</v>
      </c>
      <c r="M16" s="115"/>
    </row>
    <row r="17" spans="1:13" ht="20.100000000000001" customHeight="1">
      <c r="A17" s="107">
        <f t="shared" si="0"/>
        <v>46186</v>
      </c>
      <c r="B17" s="108">
        <f t="shared" si="1"/>
        <v>46186</v>
      </c>
      <c r="C17" s="133" t="s">
        <v>6</v>
      </c>
      <c r="D17" s="102"/>
      <c r="E17" s="103"/>
      <c r="F17" s="125"/>
      <c r="G17" s="104"/>
      <c r="H17" s="104"/>
      <c r="I17" s="105"/>
      <c r="J17" s="106"/>
      <c r="K17" s="127" t="str">
        <f t="shared" si="6"/>
        <v/>
      </c>
      <c r="L17" s="127" t="str">
        <f t="shared" si="7"/>
        <v/>
      </c>
      <c r="M17" s="115"/>
    </row>
    <row r="18" spans="1:13" ht="20.100000000000001" customHeight="1">
      <c r="A18" s="107">
        <f t="shared" si="0"/>
        <v>46187</v>
      </c>
      <c r="B18" s="108">
        <f t="shared" si="1"/>
        <v>46187</v>
      </c>
      <c r="C18" s="133" t="s">
        <v>6</v>
      </c>
      <c r="D18" s="102"/>
      <c r="E18" s="103"/>
      <c r="F18" s="125"/>
      <c r="G18" s="104"/>
      <c r="H18" s="104"/>
      <c r="I18" s="105"/>
      <c r="J18" s="106"/>
      <c r="K18" s="127" t="str">
        <f t="shared" si="6"/>
        <v/>
      </c>
      <c r="L18" s="127" t="str">
        <f t="shared" si="7"/>
        <v/>
      </c>
      <c r="M18" s="115"/>
    </row>
    <row r="19" spans="1:13" ht="20.100000000000001" customHeight="1">
      <c r="A19" s="107">
        <f t="shared" si="0"/>
        <v>46188</v>
      </c>
      <c r="B19" s="108">
        <f t="shared" si="1"/>
        <v>46188</v>
      </c>
      <c r="C19" s="101" t="s">
        <v>4</v>
      </c>
      <c r="D19" s="102"/>
      <c r="E19" s="103"/>
      <c r="F19" s="125">
        <v>0.33333333333333331</v>
      </c>
      <c r="G19" s="104">
        <v>0.70833333333333337</v>
      </c>
      <c r="H19" s="104"/>
      <c r="I19" s="105"/>
      <c r="J19" s="106">
        <v>8.3333333333333329E-2</v>
      </c>
      <c r="K19" s="127">
        <f t="shared" si="6"/>
        <v>0.29166666666666674</v>
      </c>
      <c r="L19" s="127" t="str">
        <f t="shared" si="7"/>
        <v>0:00</v>
      </c>
      <c r="M19" s="115"/>
    </row>
    <row r="20" spans="1:13" ht="20.100000000000001" customHeight="1">
      <c r="A20" s="107">
        <f t="shared" si="0"/>
        <v>46189</v>
      </c>
      <c r="B20" s="108">
        <f t="shared" si="1"/>
        <v>46189</v>
      </c>
      <c r="C20" s="101" t="s">
        <v>4</v>
      </c>
      <c r="D20" s="102"/>
      <c r="E20" s="103"/>
      <c r="F20" s="125">
        <v>0.33333333333333331</v>
      </c>
      <c r="G20" s="104">
        <v>0.70833333333333337</v>
      </c>
      <c r="H20" s="104"/>
      <c r="I20" s="105"/>
      <c r="J20" s="106">
        <v>8.3333333333333329E-2</v>
      </c>
      <c r="K20" s="127">
        <f t="shared" si="6"/>
        <v>0.29166666666666674</v>
      </c>
      <c r="L20" s="127" t="str">
        <f t="shared" si="7"/>
        <v>0:00</v>
      </c>
      <c r="M20" s="115"/>
    </row>
    <row r="21" spans="1:13" ht="20.100000000000001" customHeight="1">
      <c r="A21" s="107">
        <f t="shared" si="0"/>
        <v>46190</v>
      </c>
      <c r="B21" s="108">
        <f t="shared" si="1"/>
        <v>46190</v>
      </c>
      <c r="C21" s="101" t="s">
        <v>4</v>
      </c>
      <c r="D21" s="102"/>
      <c r="E21" s="103"/>
      <c r="F21" s="125">
        <v>0.33333333333333331</v>
      </c>
      <c r="G21" s="104">
        <v>0.70833333333333337</v>
      </c>
      <c r="H21" s="104"/>
      <c r="I21" s="105"/>
      <c r="J21" s="106">
        <v>8.3333333333333329E-2</v>
      </c>
      <c r="K21" s="127">
        <f t="shared" si="6"/>
        <v>0.29166666666666674</v>
      </c>
      <c r="L21" s="127" t="str">
        <f t="shared" si="7"/>
        <v>0:00</v>
      </c>
      <c r="M21" s="115"/>
    </row>
    <row r="22" spans="1:13" ht="20.100000000000001" customHeight="1">
      <c r="A22" s="107">
        <f t="shared" si="0"/>
        <v>46191</v>
      </c>
      <c r="B22" s="108">
        <f t="shared" si="1"/>
        <v>46191</v>
      </c>
      <c r="C22" s="101" t="s">
        <v>4</v>
      </c>
      <c r="D22" s="102"/>
      <c r="E22" s="103"/>
      <c r="F22" s="125">
        <v>0.33333333333333331</v>
      </c>
      <c r="G22" s="104">
        <v>0.70833333333333337</v>
      </c>
      <c r="H22" s="104"/>
      <c r="I22" s="105"/>
      <c r="J22" s="106">
        <v>8.3333333333333329E-2</v>
      </c>
      <c r="K22" s="127">
        <f t="shared" si="6"/>
        <v>0.29166666666666674</v>
      </c>
      <c r="L22" s="127" t="str">
        <f t="shared" si="7"/>
        <v>0:00</v>
      </c>
      <c r="M22" s="122"/>
    </row>
    <row r="23" spans="1:13" ht="20.100000000000001" customHeight="1">
      <c r="A23" s="107">
        <f t="shared" si="0"/>
        <v>46192</v>
      </c>
      <c r="B23" s="108">
        <f t="shared" si="1"/>
        <v>46192</v>
      </c>
      <c r="C23" s="101" t="s">
        <v>4</v>
      </c>
      <c r="D23" s="102"/>
      <c r="E23" s="103"/>
      <c r="F23" s="125">
        <v>0.33333333333333331</v>
      </c>
      <c r="G23" s="104">
        <v>0.70833333333333337</v>
      </c>
      <c r="H23" s="104"/>
      <c r="I23" s="105"/>
      <c r="J23" s="106">
        <v>8.3333333333333329E-2</v>
      </c>
      <c r="K23" s="127">
        <f t="shared" si="6"/>
        <v>0.29166666666666674</v>
      </c>
      <c r="L23" s="127" t="str">
        <f t="shared" si="7"/>
        <v>0:00</v>
      </c>
      <c r="M23" s="115"/>
    </row>
    <row r="24" spans="1:13" ht="20.100000000000001" customHeight="1">
      <c r="A24" s="107">
        <f t="shared" si="0"/>
        <v>46193</v>
      </c>
      <c r="B24" s="108">
        <f t="shared" si="1"/>
        <v>46193</v>
      </c>
      <c r="C24" s="133" t="s">
        <v>6</v>
      </c>
      <c r="D24" s="102"/>
      <c r="E24" s="103"/>
      <c r="F24" s="125"/>
      <c r="G24" s="104"/>
      <c r="H24" s="104"/>
      <c r="I24" s="105"/>
      <c r="J24" s="106"/>
      <c r="K24" s="127" t="str">
        <f t="shared" si="6"/>
        <v/>
      </c>
      <c r="L24" s="127" t="str">
        <f t="shared" si="7"/>
        <v/>
      </c>
      <c r="M24" s="115"/>
    </row>
    <row r="25" spans="1:13" ht="20.100000000000001" customHeight="1">
      <c r="A25" s="107">
        <f t="shared" si="0"/>
        <v>46194</v>
      </c>
      <c r="B25" s="108">
        <f t="shared" si="1"/>
        <v>46194</v>
      </c>
      <c r="C25" s="133" t="s">
        <v>6</v>
      </c>
      <c r="D25" s="102"/>
      <c r="E25" s="103"/>
      <c r="F25" s="125"/>
      <c r="G25" s="104"/>
      <c r="H25" s="104"/>
      <c r="I25" s="105"/>
      <c r="J25" s="106"/>
      <c r="K25" s="127" t="str">
        <f t="shared" si="6"/>
        <v/>
      </c>
      <c r="L25" s="127" t="str">
        <f t="shared" si="7"/>
        <v/>
      </c>
      <c r="M25" s="115"/>
    </row>
    <row r="26" spans="1:13" ht="20.100000000000001" customHeight="1">
      <c r="A26" s="107">
        <f t="shared" si="0"/>
        <v>46195</v>
      </c>
      <c r="B26" s="108">
        <f t="shared" si="1"/>
        <v>46195</v>
      </c>
      <c r="C26" s="101" t="s">
        <v>4</v>
      </c>
      <c r="D26" s="102"/>
      <c r="E26" s="103"/>
      <c r="F26" s="125">
        <v>0.33333333333333331</v>
      </c>
      <c r="G26" s="104">
        <v>0.70833333333333337</v>
      </c>
      <c r="H26" s="104"/>
      <c r="I26" s="105"/>
      <c r="J26" s="106">
        <v>8.3333333333333329E-2</v>
      </c>
      <c r="K26" s="127">
        <f t="shared" si="6"/>
        <v>0.29166666666666674</v>
      </c>
      <c r="L26" s="127" t="str">
        <f t="shared" si="7"/>
        <v>0:00</v>
      </c>
      <c r="M26" s="115"/>
    </row>
    <row r="27" spans="1:13" ht="20.100000000000001" customHeight="1">
      <c r="A27" s="107">
        <f t="shared" si="0"/>
        <v>46196</v>
      </c>
      <c r="B27" s="108">
        <f t="shared" si="1"/>
        <v>46196</v>
      </c>
      <c r="C27" s="101" t="s">
        <v>4</v>
      </c>
      <c r="D27" s="102"/>
      <c r="E27" s="103"/>
      <c r="F27" s="125">
        <v>0.33333333333333331</v>
      </c>
      <c r="G27" s="104">
        <v>0.70833333333333337</v>
      </c>
      <c r="H27" s="104"/>
      <c r="I27" s="105"/>
      <c r="J27" s="106">
        <v>8.3333333333333329E-2</v>
      </c>
      <c r="K27" s="127">
        <f t="shared" si="6"/>
        <v>0.29166666666666674</v>
      </c>
      <c r="L27" s="127" t="str">
        <f t="shared" si="7"/>
        <v>0:00</v>
      </c>
      <c r="M27" s="115"/>
    </row>
    <row r="28" spans="1:13" ht="20.100000000000001" customHeight="1">
      <c r="A28" s="107">
        <f t="shared" si="0"/>
        <v>46197</v>
      </c>
      <c r="B28" s="108">
        <f t="shared" si="1"/>
        <v>46197</v>
      </c>
      <c r="C28" s="101" t="s">
        <v>4</v>
      </c>
      <c r="D28" s="102"/>
      <c r="E28" s="103"/>
      <c r="F28" s="125">
        <v>0.33333333333333331</v>
      </c>
      <c r="G28" s="104">
        <v>0.70833333333333337</v>
      </c>
      <c r="H28" s="104"/>
      <c r="I28" s="105"/>
      <c r="J28" s="106">
        <v>8.3333333333333329E-2</v>
      </c>
      <c r="K28" s="127">
        <f t="shared" si="6"/>
        <v>0.29166666666666674</v>
      </c>
      <c r="L28" s="127" t="str">
        <f t="shared" si="7"/>
        <v>0:00</v>
      </c>
      <c r="M28" s="115"/>
    </row>
    <row r="29" spans="1:13" ht="20.100000000000001" customHeight="1">
      <c r="A29" s="107">
        <f t="shared" si="0"/>
        <v>46198</v>
      </c>
      <c r="B29" s="108">
        <f t="shared" si="1"/>
        <v>46198</v>
      </c>
      <c r="C29" s="101" t="s">
        <v>4</v>
      </c>
      <c r="D29" s="102"/>
      <c r="E29" s="103"/>
      <c r="F29" s="125">
        <v>0.33333333333333331</v>
      </c>
      <c r="G29" s="104">
        <v>0.70833333333333337</v>
      </c>
      <c r="H29" s="104"/>
      <c r="I29" s="105"/>
      <c r="J29" s="106">
        <v>8.3333333333333329E-2</v>
      </c>
      <c r="K29" s="127">
        <f t="shared" si="6"/>
        <v>0.29166666666666674</v>
      </c>
      <c r="L29" s="127" t="str">
        <f t="shared" si="7"/>
        <v>0:00</v>
      </c>
      <c r="M29" s="122"/>
    </row>
    <row r="30" spans="1:13" ht="20.100000000000001" customHeight="1">
      <c r="A30" s="107">
        <f t="shared" si="0"/>
        <v>46199</v>
      </c>
      <c r="B30" s="108">
        <f t="shared" si="1"/>
        <v>46199</v>
      </c>
      <c r="C30" s="101" t="s">
        <v>4</v>
      </c>
      <c r="D30" s="102"/>
      <c r="E30" s="103"/>
      <c r="F30" s="125">
        <v>0.33333333333333331</v>
      </c>
      <c r="G30" s="104">
        <v>0.70833333333333337</v>
      </c>
      <c r="H30" s="104"/>
      <c r="I30" s="105"/>
      <c r="J30" s="106">
        <v>8.3333333333333329E-2</v>
      </c>
      <c r="K30" s="127">
        <f t="shared" si="6"/>
        <v>0.29166666666666674</v>
      </c>
      <c r="L30" s="127" t="str">
        <f t="shared" si="7"/>
        <v>0:00</v>
      </c>
      <c r="M30" s="115"/>
    </row>
    <row r="31" spans="1:13" ht="20.100000000000001" customHeight="1">
      <c r="A31" s="107">
        <f t="shared" si="0"/>
        <v>46200</v>
      </c>
      <c r="B31" s="108">
        <f t="shared" si="1"/>
        <v>46200</v>
      </c>
      <c r="C31" s="101" t="s">
        <v>4</v>
      </c>
      <c r="D31" s="102"/>
      <c r="E31" s="103"/>
      <c r="F31" s="125">
        <v>0.33333333333333331</v>
      </c>
      <c r="G31" s="104">
        <v>0.70833333333333337</v>
      </c>
      <c r="H31" s="104"/>
      <c r="I31" s="105"/>
      <c r="J31" s="106">
        <v>8.3333333333333329E-2</v>
      </c>
      <c r="K31" s="127">
        <f t="shared" si="6"/>
        <v>0.29166666666666674</v>
      </c>
      <c r="L31" s="127" t="str">
        <f t="shared" si="7"/>
        <v>0:00</v>
      </c>
      <c r="M31" s="115"/>
    </row>
    <row r="32" spans="1:13" ht="20.100000000000001" customHeight="1">
      <c r="A32" s="107">
        <f t="shared" si="0"/>
        <v>46201</v>
      </c>
      <c r="B32" s="108">
        <f t="shared" si="1"/>
        <v>46201</v>
      </c>
      <c r="C32" s="133" t="s">
        <v>6</v>
      </c>
      <c r="D32" s="102"/>
      <c r="E32" s="103"/>
      <c r="F32" s="125"/>
      <c r="G32" s="104"/>
      <c r="H32" s="104"/>
      <c r="I32" s="105"/>
      <c r="J32" s="106"/>
      <c r="K32" s="127" t="str">
        <f t="shared" si="6"/>
        <v/>
      </c>
      <c r="L32" s="127" t="str">
        <f t="shared" si="7"/>
        <v/>
      </c>
      <c r="M32" s="116"/>
    </row>
    <row r="33" spans="1:13" ht="20.100000000000001" customHeight="1">
      <c r="A33" s="107">
        <f t="shared" si="0"/>
        <v>46202</v>
      </c>
      <c r="B33" s="108">
        <f t="shared" si="1"/>
        <v>46202</v>
      </c>
      <c r="C33" s="135" t="s">
        <v>5</v>
      </c>
      <c r="D33" s="102"/>
      <c r="E33" s="103"/>
      <c r="F33" s="125">
        <v>0.33333333333333331</v>
      </c>
      <c r="G33" s="104">
        <v>0.70833333333333337</v>
      </c>
      <c r="H33" s="104"/>
      <c r="I33" s="105"/>
      <c r="J33" s="106">
        <v>8.3333333333333329E-2</v>
      </c>
      <c r="K33" s="127">
        <f t="shared" si="6"/>
        <v>0.29166666666666674</v>
      </c>
      <c r="L33" s="127" t="str">
        <f t="shared" si="7"/>
        <v>0:00</v>
      </c>
      <c r="M33" s="115"/>
    </row>
    <row r="34" spans="1:13" ht="20.100000000000001" customHeight="1">
      <c r="A34" s="107">
        <f t="shared" si="0"/>
        <v>46203</v>
      </c>
      <c r="B34" s="108">
        <f t="shared" si="1"/>
        <v>46203</v>
      </c>
      <c r="C34" s="135" t="s">
        <v>5</v>
      </c>
      <c r="D34" s="102"/>
      <c r="E34" s="103"/>
      <c r="F34" s="125">
        <v>0.33333333333333331</v>
      </c>
      <c r="G34" s="104">
        <v>0.70833333333333337</v>
      </c>
      <c r="H34" s="104"/>
      <c r="I34" s="105"/>
      <c r="J34" s="106">
        <v>8.3333333333333329E-2</v>
      </c>
      <c r="K34" s="127">
        <f t="shared" si="6"/>
        <v>0.29166666666666674</v>
      </c>
      <c r="L34" s="127" t="str">
        <f t="shared" si="7"/>
        <v>0:00</v>
      </c>
      <c r="M34" s="115"/>
    </row>
    <row r="35" spans="1:13" ht="20.100000000000001" customHeight="1" thickBot="1">
      <c r="A35" s="109" t="str">
        <f t="shared" si="0"/>
        <v/>
      </c>
      <c r="B35" s="110" t="str">
        <f t="shared" si="1"/>
        <v/>
      </c>
      <c r="C35" s="133"/>
      <c r="D35" s="102"/>
      <c r="E35" s="103"/>
      <c r="F35" s="113"/>
      <c r="G35" s="104"/>
      <c r="H35" s="104"/>
      <c r="I35" s="105"/>
      <c r="J35" s="106"/>
      <c r="K35" s="127" t="str">
        <f t="shared" si="6"/>
        <v/>
      </c>
      <c r="L35" s="127" t="str">
        <f t="shared" si="7"/>
        <v/>
      </c>
      <c r="M35" s="115"/>
    </row>
    <row r="36" spans="1:13" ht="20.100000000000001" customHeight="1">
      <c r="A36" s="142" t="s">
        <v>8</v>
      </c>
      <c r="B36" s="143"/>
      <c r="C36" s="143"/>
      <c r="D36" s="143"/>
      <c r="E36" s="143"/>
      <c r="F36" s="114"/>
      <c r="G36" s="111"/>
      <c r="H36" s="111"/>
      <c r="I36" s="112"/>
      <c r="J36" s="111"/>
      <c r="K36" s="111"/>
      <c r="L36" s="128" t="str">
        <f>IF(M36="","",
   IF(M36&gt;=0,
      TEXT(M36,"h:mm"),
      "-" &amp; TEXT(-M36,"h:mm")
   )
)</f>
        <v>0:00</v>
      </c>
      <c r="M36" s="129" cm="1">
        <f t="array" ref="M36">SUMPRODUCT(IFERROR(
   IF(LEFT(L5:L35,1)="-",
      -TIMEVALUE(MID(L5:L35,2,10)),
      TIMEVALUE(L5:L35)
   ),
0))</f>
        <v>0</v>
      </c>
    </row>
    <row r="38" spans="1:13" ht="20.100000000000001" customHeight="1">
      <c r="E38" s="117" t="s">
        <v>50</v>
      </c>
      <c r="F38" s="118">
        <f>COUNTIF(C5:C35,"出勤")</f>
        <v>22</v>
      </c>
      <c r="G38" s="117" t="s">
        <v>59</v>
      </c>
      <c r="H38" s="119"/>
      <c r="I38" s="120">
        <f>I36</f>
        <v>0</v>
      </c>
      <c r="J38" s="117" t="s">
        <v>61</v>
      </c>
      <c r="K38" s="124"/>
      <c r="L38" s="124"/>
      <c r="M38" s="120"/>
    </row>
    <row r="39" spans="1:13" ht="20.100000000000001" customHeight="1">
      <c r="E39" s="117" t="s">
        <v>51</v>
      </c>
      <c r="F39" s="118">
        <f>COUNTIF(C5:C35,"欠勤")</f>
        <v>0</v>
      </c>
      <c r="G39" s="117" t="s">
        <v>34</v>
      </c>
      <c r="H39" s="119"/>
      <c r="I39" s="120">
        <f>G36+H36</f>
        <v>0</v>
      </c>
      <c r="J39" s="117" t="inlineStr">
        <is>
          <t>時間外合計</t>
        </is>
      </c>
      <c r="K39" s="124"/>
      <c r="L39" s="124"/>
      <c r="M39" s="120">
        <f>I38+I39+M38</f>
        <v>0</v>
      </c>
    </row>
    <row r="40" spans="1:13" ht="20.100000000000001" customHeight="1">
      <c r="E40" s="117" t="s">
        <v>52</v>
      </c>
      <c r="F40" s="118">
        <f>COUNTIF(C5:C35,"有給")</f>
        <v>2</v>
      </c>
      <c r="G40" s="117" t="s">
        <v>60</v>
      </c>
      <c r="H40" s="119"/>
      <c r="I40" s="120">
        <f>F36</f>
        <v>0</v>
      </c>
      <c r="J40" s="117" t="s">
        <v>62</v>
      </c>
      <c r="K40" s="124"/>
      <c r="L40" s="124"/>
      <c r="M40" s="121"/>
    </row>
  </sheetData>
  <mergeCells count="5">
    <mergeCell ref="A2:B2"/>
    <mergeCell ref="H2:J2"/>
    <mergeCell ref="K2:M2"/>
    <mergeCell ref="A4:B4"/>
    <mergeCell ref="A36:E36"/>
  </mergeCells>
  <phoneticPr fontId="1"/>
  <conditionalFormatting sqref="A5:C35">
    <cfRule type="expression" dxfId="65" priority="1">
      <formula>WEEKDAY(A5)=7</formula>
    </cfRule>
    <cfRule type="expression" dxfId="64" priority="2">
      <formula>WEEKDAY(A5)=1</formula>
    </cfRule>
  </conditionalFormatting>
  <dataValidations count="2">
    <dataValidation imeMode="halfAlpha" allowBlank="1" showInputMessage="1" showErrorMessage="1" sqref="D5:L35"/>
    <dataValidation type="list" allowBlank="1" showInputMessage="1" sqref="C5:C35">
      <formula1>"出勤,欠勤,休日,有給"</formula1>
    </dataValidation>
  </dataValidations>
  <printOptions horizontalCentered="1" verticalCentered="1"/>
  <pageMargins left="0.31496062992125984" right="0.31496062992125984" top="0.35433070866141736" bottom="0.35433070866141736" header="0.31496062992125984" footer="0.31496062992125984"/>
  <pageSetup paperSize="9" scale="8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templates-navi.com</dc:creator>
  <cp:lastModifiedBy>yushink</cp:lastModifiedBy>
  <cp:lastPrinted>2026-07-16T01:09:47Z</cp:lastPrinted>
  <dcterms:created xsi:type="dcterms:W3CDTF">2014-10-13T08:38:48Z</dcterms:created>
  <dcterms:modified xsi:type="dcterms:W3CDTF">2026-07-16T01:10:33Z</dcterms:modified>
</cp:coreProperties>
</file>